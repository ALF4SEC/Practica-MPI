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a Máquina" sheetId="1" r:id="rId4"/>
    <sheet state="visible" name="Varias Máquinas" sheetId="2" r:id="rId5"/>
    <sheet state="visible" name="Gráficas" sheetId="3" r:id="rId6"/>
  </sheets>
  <definedNames/>
  <calcPr/>
  <extLst>
    <ext uri="GoogleSheetsCustomDataVersion2">
      <go:sheetsCustomData xmlns:go="http://customooxmlschemas.google.com/" r:id="rId7" roundtripDataChecksum="snY5Wn9WJL6Y3WuTyfZXnHq7OzQoCD3IIoiJk4CvYLs="/>
    </ext>
  </extLst>
</workbook>
</file>

<file path=xl/sharedStrings.xml><?xml version="1.0" encoding="utf-8"?>
<sst xmlns="http://schemas.openxmlformats.org/spreadsheetml/2006/main" count="55" uniqueCount="30">
  <si>
    <t>PRÁCTICA MPI — Mediciones de Rendimiento — UNA MÁQUINA</t>
  </si>
  <si>
    <t>Pista: EN</t>
  </si>
  <si>
    <t>Pista: ABADIA</t>
  </si>
  <si>
    <t>Pista: PERGAMINO</t>
  </si>
  <si>
    <t>Nº
Procs</t>
  </si>
  <si>
    <t>Nº
Busc.</t>
  </si>
  <si>
    <t>Tiempo
(s)</t>
  </si>
  <si>
    <t>NI
(intentos)</t>
  </si>
  <si>
    <t>NI/s
(intentos/s)</t>
  </si>
  <si>
    <t>Speedup
NI/s</t>
  </si>
  <si>
    <t>Aciertos PISTA en mensaje descifrado (Consultas a proceso de E/S)</t>
  </si>
  <si>
    <t>EN</t>
  </si>
  <si>
    <t>ABADIA</t>
  </si>
  <si>
    <t>PERGAMINO</t>
  </si>
  <si>
    <t>PRÁCTICA MPI — Mediciones de Rendimiento — VARIAS MÁQUINAS EN RED</t>
  </si>
  <si>
    <t>Rellena las celdas AZULES con los valores que imprime el programa. Las celdas BLANCAS se calculan solas.  NI/s = Intentos por segundo  |  SP = Speedup basado en NI/s</t>
  </si>
  <si>
    <t>🔵 Celda azul = dato que introduces tú   |   ⬜ Celda blanca = calculada automáticamente</t>
  </si>
  <si>
    <t>CÓMO RELLENAR:
• Tiempo (s): el valor 'Tiempo total (proceso 0)' que imprime el programa al final.
• NI: el valor 'Intentos totales (todos buscadores)' de la sección TOTALES.
• El Speedup usa como referencia los NI/s de 1 proceso con pista EN (fila 1, columna E).
  → El tiempo NO es fiable para el speedup porque depende de la aleatoriedad de la búsqueda.
  → Los NI/s SÍ escalan linealmente: con 2 buscadores deberían ser ~el doble que con 1.</t>
  </si>
  <si>
    <t>GRÁFICAS DE RENDIMIENTO — UNA MÁQUINA</t>
  </si>
  <si>
    <t>Nº Procs</t>
  </si>
  <si>
    <t>T EN (s)</t>
  </si>
  <si>
    <t>T ABADIA (s)</t>
  </si>
  <si>
    <t>T PERGAMINO (s)</t>
  </si>
  <si>
    <t>NI/s EN</t>
  </si>
  <si>
    <t>NI/s ABADIA</t>
  </si>
  <si>
    <t>NI/s PERGAMINO</t>
  </si>
  <si>
    <t>SP EN</t>
  </si>
  <si>
    <t>SP ABADIA</t>
  </si>
  <si>
    <t>SP PERGAMINO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</si>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</sst>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00"/>
    <numFmt numFmtId="165" formatCode="#,##0.0000000"/>
    <numFmt numFmtId="166" formatCode="0.0000000"/>
    <numFmt numFmtId="167" formatCode="0.000000"/>
  </numFmts>
  <fonts count="13">
    <font>
      <sz val="11.0"/>
      <color theme="1"/>
      <name val="Calibri"/>
      <scheme val="minor"/>
    </font>
    <font>
      <b/>
      <sz val="13.0"/>
      <color rgb="FFFFFFFF"/>
      <name val="Arial"/>
    </font>
    <font/>
    <font>
      <sz val="11.0"/>
      <color theme="1"/>
      <name val="Calibri"/>
    </font>
    <font>
      <i/>
      <sz val="9.0"/>
      <color rgb="FF595959"/>
      <name val="Arial"/>
    </font>
    <font>
      <b/>
      <sz val="9.0"/>
      <color rgb="FF2F5496"/>
      <name val="Arial"/>
    </font>
    <font>
      <b/>
      <sz val="11.0"/>
      <color rgb="FFFFFFFF"/>
      <name val="Arial"/>
    </font>
    <font>
      <b/>
      <sz val="9.0"/>
      <color rgb="FFFFFFFF"/>
      <name val="Arial"/>
    </font>
    <font>
      <sz val="10.0"/>
      <color rgb="FF000080"/>
      <name val="Arial"/>
    </font>
    <font>
      <sz val="10.0"/>
      <color rgb="FF000000"/>
      <name val="Arial"/>
    </font>
    <font>
      <i/>
      <sz val="9.0"/>
      <color rgb="FF404040"/>
      <name val="Arial"/>
    </font>
    <font>
      <b/>
      <sz val="12.0"/>
      <color rgb="FF1F497D"/>
      <name val="Arial"/>
    </font>
    <font>
      <sz val="10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F497D"/>
        <bgColor rgb="FF1F497D"/>
      </patternFill>
    </fill>
    <fill>
      <patternFill patternType="solid">
        <fgColor rgb="FF375623"/>
        <bgColor rgb="FF375623"/>
      </patternFill>
    </fill>
    <fill>
      <patternFill patternType="solid">
        <fgColor rgb="FF7B2C2C"/>
        <bgColor rgb="FF7B2C2C"/>
      </patternFill>
    </fill>
    <fill>
      <patternFill patternType="solid">
        <fgColor rgb="FF2F5496"/>
        <bgColor rgb="FF2F5496"/>
      </patternFill>
    </fill>
    <fill>
      <patternFill patternType="solid">
        <fgColor rgb="FFD6E4F7"/>
        <bgColor rgb="FFD6E4F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3">
    <border/>
    <border>
      <left/>
      <top/>
      <bottom/>
    </border>
    <border>
      <top/>
      <bottom/>
    </border>
    <border>
      <right/>
      <top/>
      <bottom/>
    </border>
    <border>
      <left style="medium">
        <color rgb="FF2F5496"/>
      </left>
      <right style="thin">
        <color rgb="FFB8CCE4"/>
      </right>
      <top style="medium">
        <color rgb="FF2F5496"/>
      </top>
      <bottom style="thin">
        <color rgb="FFB8CCE4"/>
      </bottom>
    </border>
    <border>
      <left style="thin">
        <color rgb="FFB8CCE4"/>
      </left>
      <right style="thin">
        <color rgb="FFB8CCE4"/>
      </right>
      <top style="medium">
        <color rgb="FF2F5496"/>
      </top>
      <bottom style="thin">
        <color rgb="FFB8CCE4"/>
      </bottom>
    </border>
    <border>
      <left style="thin">
        <color rgb="FFB8CCE4"/>
      </left>
      <right style="medium">
        <color rgb="FF2F5496"/>
      </right>
      <top style="medium">
        <color rgb="FF2F5496"/>
      </top>
      <bottom style="thin">
        <color rgb="FFB8CCE4"/>
      </bottom>
    </border>
    <border>
      <left style="medium">
        <color rgb="FF2F5496"/>
      </left>
      <right style="thin">
        <color rgb="FFB8CCE4"/>
      </right>
      <top style="thin">
        <color rgb="FFB8CCE4"/>
      </top>
      <bottom style="thin">
        <color rgb="FFB8CCE4"/>
      </bottom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  <border>
      <left style="thin">
        <color rgb="FFB8CCE4"/>
      </left>
      <right style="medium">
        <color rgb="FF2F5496"/>
      </right>
      <top style="thin">
        <color rgb="FFB8CCE4"/>
      </top>
      <bottom style="thin">
        <color rgb="FFB8CCE4"/>
      </bottom>
    </border>
    <border>
      <left style="medium">
        <color rgb="FF2F5496"/>
      </left>
      <right style="thin">
        <color rgb="FFB8CCE4"/>
      </right>
      <top style="thin">
        <color rgb="FFB8CCE4"/>
      </top>
      <bottom style="medium">
        <color rgb="FF2F5496"/>
      </bottom>
    </border>
    <border>
      <left style="thin">
        <color rgb="FFB8CCE4"/>
      </left>
      <right style="thin">
        <color rgb="FFB8CCE4"/>
      </right>
      <top style="thin">
        <color rgb="FFB8CCE4"/>
      </top>
      <bottom style="medium">
        <color rgb="FF2F5496"/>
      </bottom>
    </border>
    <border>
      <left style="thin">
        <color rgb="FFB8CCE4"/>
      </left>
      <right style="medium">
        <color rgb="FF2F5496"/>
      </right>
      <top style="thin">
        <color rgb="FFB8CCE4"/>
      </top>
      <bottom style="medium">
        <color rgb="FF2F5496"/>
      </bottom>
    </border>
    <border>
      <left style="medium">
        <color rgb="FF2F5496"/>
      </left>
      <top style="medium">
        <color rgb="FF2F5496"/>
      </top>
    </border>
    <border>
      <top style="medium">
        <color rgb="FF2F5496"/>
      </top>
    </border>
    <border>
      <right/>
      <top style="medium">
        <color rgb="FF2F5496"/>
      </top>
    </border>
    <border>
      <right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</border>
    <border>
      <bottom/>
    </border>
    <border>
      <right/>
      <bottom/>
    </border>
    <border>
      <left style="medium">
        <color rgb="FF2F5496"/>
      </left>
    </border>
    <border>
      <left style="medium">
        <color rgb="FF2F5496"/>
      </left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left" vertical="center"/>
    </xf>
    <xf borderId="1" fillId="2" fontId="6" numFmtId="0" xfId="0" applyAlignment="1" applyBorder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1" fillId="5" fontId="6" numFmtId="0" xfId="0" applyAlignment="1" applyBorder="1" applyFill="1" applyFont="1">
      <alignment horizontal="center" shrinkToFit="0" vertical="center" wrapText="1"/>
    </xf>
    <xf borderId="4" fillId="6" fontId="7" numFmtId="0" xfId="0" applyAlignment="1" applyBorder="1" applyFill="1" applyFont="1">
      <alignment horizontal="center" shrinkToFit="0" vertical="center" wrapText="1"/>
    </xf>
    <xf borderId="5" fillId="6" fontId="7" numFmtId="0" xfId="0" applyAlignment="1" applyBorder="1" applyFont="1">
      <alignment horizontal="center" shrinkToFit="0" vertical="center" wrapText="1"/>
    </xf>
    <xf borderId="6" fillId="6" fontId="7" numFmtId="0" xfId="0" applyAlignment="1" applyBorder="1" applyFont="1">
      <alignment horizontal="center" shrinkToFit="0" vertical="center" wrapText="1"/>
    </xf>
    <xf borderId="7" fillId="7" fontId="8" numFmtId="0" xfId="0" applyAlignment="1" applyBorder="1" applyFill="1" applyFont="1">
      <alignment horizontal="center" vertical="center"/>
    </xf>
    <xf borderId="8" fillId="8" fontId="9" numFmtId="1" xfId="0" applyAlignment="1" applyBorder="1" applyFill="1" applyFont="1" applyNumberFormat="1">
      <alignment horizontal="center" vertical="center"/>
    </xf>
    <xf borderId="8" fillId="7" fontId="8" numFmtId="164" xfId="0" applyAlignment="1" applyBorder="1" applyFont="1" applyNumberFormat="1">
      <alignment horizontal="center" readingOrder="0" vertical="center"/>
    </xf>
    <xf borderId="8" fillId="7" fontId="8" numFmtId="0" xfId="0" applyAlignment="1" applyBorder="1" applyFont="1">
      <alignment horizontal="center" vertical="center"/>
    </xf>
    <xf borderId="8" fillId="8" fontId="9" numFmtId="3" xfId="0" applyAlignment="1" applyBorder="1" applyFont="1" applyNumberFormat="1">
      <alignment horizontal="center" vertical="center"/>
    </xf>
    <xf borderId="8" fillId="8" fontId="9" numFmtId="2" xfId="0" applyAlignment="1" applyBorder="1" applyFont="1" applyNumberFormat="1">
      <alignment horizontal="center" vertical="center"/>
    </xf>
    <xf borderId="8" fillId="7" fontId="8" numFmtId="0" xfId="0" applyAlignment="1" applyBorder="1" applyFont="1">
      <alignment horizontal="center" readingOrder="0" vertical="center"/>
    </xf>
    <xf borderId="9" fillId="8" fontId="9" numFmtId="2" xfId="0" applyAlignment="1" applyBorder="1" applyFont="1" applyNumberFormat="1">
      <alignment horizontal="center" vertical="center"/>
    </xf>
    <xf borderId="8" fillId="7" fontId="8" numFmtId="165" xfId="0" applyAlignment="1" applyBorder="1" applyFont="1" applyNumberFormat="1">
      <alignment horizontal="center" readingOrder="0" vertical="center"/>
    </xf>
    <xf borderId="8" fillId="7" fontId="8" numFmtId="166" xfId="0" applyAlignment="1" applyBorder="1" applyFont="1" applyNumberFormat="1">
      <alignment horizontal="center" readingOrder="0" vertical="center"/>
    </xf>
    <xf borderId="10" fillId="7" fontId="8" numFmtId="0" xfId="0" applyAlignment="1" applyBorder="1" applyFont="1">
      <alignment horizontal="center" vertical="center"/>
    </xf>
    <xf borderId="11" fillId="8" fontId="9" numFmtId="1" xfId="0" applyAlignment="1" applyBorder="1" applyFont="1" applyNumberFormat="1">
      <alignment horizontal="center" vertical="center"/>
    </xf>
    <xf borderId="11" fillId="7" fontId="8" numFmtId="167" xfId="0" applyAlignment="1" applyBorder="1" applyFont="1" applyNumberFormat="1">
      <alignment horizontal="center" readingOrder="0" vertical="center"/>
    </xf>
    <xf borderId="11" fillId="7" fontId="8" numFmtId="0" xfId="0" applyAlignment="1" applyBorder="1" applyFont="1">
      <alignment horizontal="center" readingOrder="0" vertical="center"/>
    </xf>
    <xf borderId="11" fillId="8" fontId="9" numFmtId="3" xfId="0" applyAlignment="1" applyBorder="1" applyFont="1" applyNumberFormat="1">
      <alignment horizontal="center" vertical="center"/>
    </xf>
    <xf borderId="11" fillId="8" fontId="9" numFmtId="2" xfId="0" applyAlignment="1" applyBorder="1" applyFont="1" applyNumberFormat="1">
      <alignment horizontal="center" vertical="center"/>
    </xf>
    <xf borderId="11" fillId="7" fontId="8" numFmtId="164" xfId="0" applyAlignment="1" applyBorder="1" applyFont="1" applyNumberFormat="1">
      <alignment horizontal="center" readingOrder="0" vertical="center"/>
    </xf>
    <xf borderId="12" fillId="8" fontId="9" numFmtId="2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shrinkToFit="0" vertical="top" wrapText="1"/>
    </xf>
    <xf borderId="14" fillId="0" fontId="10" numFmtId="0" xfId="0" applyAlignment="1" applyBorder="1" applyFont="1">
      <alignment shrinkToFit="0" vertical="top" wrapText="1"/>
    </xf>
    <xf borderId="15" fillId="0" fontId="10" numFmtId="0" xfId="0" applyAlignment="1" applyBorder="1" applyFont="1">
      <alignment shrinkToFit="0" vertical="top" wrapText="1"/>
    </xf>
    <xf borderId="0" fillId="0" fontId="11" numFmtId="0" xfId="0" applyAlignment="1" applyFont="1">
      <alignment horizontal="left" vertical="center"/>
    </xf>
    <xf borderId="0" fillId="0" fontId="10" numFmtId="0" xfId="0" applyAlignment="1" applyFont="1">
      <alignment shrinkToFit="0" vertical="top" wrapText="1"/>
    </xf>
    <xf borderId="16" fillId="0" fontId="10" numFmtId="0" xfId="0" applyAlignment="1" applyBorder="1" applyFont="1">
      <alignment shrinkToFit="0" vertical="top" wrapText="1"/>
    </xf>
    <xf borderId="17" fillId="6" fontId="3" numFmtId="0" xfId="0" applyBorder="1" applyFont="1"/>
    <xf borderId="17" fillId="6" fontId="7" numFmtId="0" xfId="0" applyAlignment="1" applyBorder="1" applyFont="1">
      <alignment horizontal="center" shrinkToFit="0" vertical="center" wrapText="1"/>
    </xf>
    <xf borderId="17" fillId="3" fontId="6" numFmtId="0" xfId="0" applyAlignment="1" applyBorder="1" applyFont="1">
      <alignment horizontal="center" shrinkToFit="0" vertical="center" wrapText="1"/>
    </xf>
    <xf borderId="17" fillId="7" fontId="8" numFmtId="3" xfId="0" applyAlignment="1" applyBorder="1" applyFont="1" applyNumberFormat="1">
      <alignment horizontal="center" shrinkToFit="0" vertical="center" wrapText="1"/>
    </xf>
    <xf borderId="17" fillId="7" fontId="8" numFmtId="3" xfId="0" applyAlignment="1" applyBorder="1" applyFont="1" applyNumberFormat="1">
      <alignment horizontal="center" readingOrder="0" shrinkToFit="0" vertical="center" wrapText="1"/>
    </xf>
    <xf borderId="17" fillId="4" fontId="6" numFmtId="0" xfId="0" applyAlignment="1" applyBorder="1" applyFont="1">
      <alignment horizontal="center" shrinkToFit="0" vertical="center" wrapText="1"/>
    </xf>
    <xf borderId="17" fillId="5" fontId="6" numFmtId="0" xfId="0" applyAlignment="1" applyBorder="1" applyFont="1">
      <alignment horizontal="center" shrinkToFit="0" vertical="center" wrapText="1"/>
    </xf>
    <xf borderId="18" fillId="0" fontId="10" numFmtId="0" xfId="0" applyAlignment="1" applyBorder="1" applyFont="1">
      <alignment shrinkToFit="0" vertical="top" wrapText="1"/>
    </xf>
    <xf borderId="19" fillId="0" fontId="10" numFmtId="0" xfId="0" applyAlignment="1" applyBorder="1" applyFont="1">
      <alignment shrinkToFit="0" vertical="top" wrapText="1"/>
    </xf>
    <xf borderId="11" fillId="7" fontId="8" numFmtId="0" xfId="0" applyAlignment="1" applyBorder="1" applyFont="1">
      <alignment horizontal="center" vertical="center"/>
    </xf>
    <xf borderId="13" fillId="9" fontId="10" numFmtId="0" xfId="0" applyAlignment="1" applyBorder="1" applyFill="1" applyFont="1">
      <alignment shrinkToFit="0" vertical="top" wrapText="1"/>
    </xf>
    <xf borderId="14" fillId="0" fontId="2" numFmtId="0" xfId="0" applyBorder="1" applyFont="1"/>
    <xf borderId="15" fillId="0" fontId="2" numFmtId="0" xfId="0" applyBorder="1" applyFont="1"/>
    <xf borderId="20" fillId="0" fontId="2" numFmtId="0" xfId="0" applyBorder="1" applyFont="1"/>
    <xf borderId="16" fillId="0" fontId="2" numFmtId="0" xfId="0" applyBorder="1" applyFont="1"/>
    <xf borderId="21" fillId="0" fontId="2" numFmtId="0" xfId="0" applyBorder="1" applyFont="1"/>
    <xf borderId="18" fillId="0" fontId="2" numFmtId="0" xfId="0" applyBorder="1" applyFont="1"/>
    <xf borderId="19" fillId="0" fontId="2" numFmtId="0" xfId="0" applyBorder="1" applyFont="1"/>
    <xf borderId="22" fillId="6" fontId="7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vertical="bottom"/>
    </xf>
    <xf borderId="0" fillId="0" fontId="12" numFmtId="164" xfId="0" applyAlignment="1" applyFont="1" applyNumberFormat="1">
      <alignment horizontal="center" vertical="bottom"/>
    </xf>
    <xf borderId="0" fillId="0" fontId="12" numFmtId="3" xfId="0" applyAlignment="1" applyFont="1" applyNumberFormat="1">
      <alignment horizontal="center" vertical="bottom"/>
    </xf>
    <xf borderId="0" fillId="0" fontId="12" numFmtId="2" xfId="0" applyAlignment="1" applyFont="1" applyNumberFormat="1">
      <alignment horizontal="center" vertical="bottom"/>
    </xf>
    <xf borderId="0" fillId="0" fontId="12" numFmtId="165" xfId="0" applyAlignment="1" applyFont="1" applyNumberFormat="1">
      <alignment horizontal="center" vertical="bottom"/>
    </xf>
    <xf borderId="0" fillId="0" fontId="12" numFmtId="166" xfId="0" applyAlignment="1" applyFont="1" applyNumberFormat="1">
      <alignment horizontal="center" vertical="bottom"/>
    </xf>
    <xf borderId="0" fillId="0" fontId="12" numFmtId="167" xfId="0" applyAlignment="1" applyFont="1" applyNumberFormat="1">
      <alignment horizontal="center" vertical="bottom"/>
    </xf>
    <xf borderId="0" fillId="0" fontId="3" numFmtId="0" xfId="0" applyAlignment="1" applyFont="1">
      <alignment readingOrder="0"/>
    </xf>
    <xf borderId="20" fillId="0" fontId="10" numFmtId="0" xfId="0" applyAlignment="1" applyBorder="1" applyFont="1">
      <alignment shrinkToFit="0" vertical="top" wrapText="1"/>
    </xf>
    <xf borderId="21" fillId="0" fontId="10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NI/s EN, NI/s ABADIA y NI/s PERGAMINO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'Gráficas'!$E$3</c:f>
            </c:strRef>
          </c:tx>
          <c:spPr>
            <a:ln cmpd="sng" w="38100">
              <a:solidFill>
                <a:srgbClr val="4F81BD"/>
              </a:solidFill>
            </a:ln>
          </c:spPr>
          <c:marker>
            <c:symbol val="circle"/>
            <c:size val="7"/>
            <c:spPr>
              <a:solidFill>
                <a:srgbClr val="4F81BD"/>
              </a:solidFill>
              <a:ln cmpd="sng">
                <a:solidFill>
                  <a:srgbClr val="4F81BD"/>
                </a:solidFill>
              </a:ln>
            </c:spPr>
          </c:marker>
          <c:cat>
            <c:strRef>
              <c:f>'Gráficas'!$A$4:$A$10</c:f>
            </c:strRef>
          </c:cat>
          <c:val>
            <c:numRef>
              <c:f>'Gráficas'!$E$4:$E$10</c:f>
              <c:numCache/>
            </c:numRef>
          </c:val>
          <c:smooth val="0"/>
        </c:ser>
        <c:ser>
          <c:idx val="1"/>
          <c:order val="1"/>
          <c:tx>
            <c:strRef>
              <c:f>'Gráficas'!$F$3</c:f>
            </c:strRef>
          </c:tx>
          <c:spPr>
            <a:ln cmpd="sng" w="38100">
              <a:solidFill>
                <a:srgbClr val="C0504D"/>
              </a:solidFill>
            </a:ln>
          </c:spPr>
          <c:marker>
            <c:symbol val="circle"/>
            <c:size val="7"/>
            <c:spPr>
              <a:solidFill>
                <a:srgbClr val="C0504D"/>
              </a:solidFill>
              <a:ln cmpd="sng">
                <a:solidFill>
                  <a:srgbClr val="C0504D"/>
                </a:solidFill>
              </a:ln>
            </c:spPr>
          </c:marker>
          <c:cat>
            <c:strRef>
              <c:f>'Gráficas'!$A$4:$A$10</c:f>
            </c:strRef>
          </c:cat>
          <c:val>
            <c:numRef>
              <c:f>'Gráficas'!$F$4:$F$10</c:f>
              <c:numCache/>
            </c:numRef>
          </c:val>
          <c:smooth val="0"/>
        </c:ser>
        <c:ser>
          <c:idx val="2"/>
          <c:order val="2"/>
          <c:tx>
            <c:strRef>
              <c:f>'Gráficas'!$G$3</c:f>
            </c:strRef>
          </c:tx>
          <c:spPr>
            <a:ln cmpd="sng" w="38100">
              <a:solidFill>
                <a:srgbClr val="9BBB59"/>
              </a:solidFill>
            </a:ln>
          </c:spPr>
          <c:marker>
            <c:symbol val="circle"/>
            <c:size val="7"/>
            <c:spPr>
              <a:solidFill>
                <a:srgbClr val="9BBB59"/>
              </a:solidFill>
              <a:ln cmpd="sng">
                <a:solidFill>
                  <a:srgbClr val="9BBB59"/>
                </a:solidFill>
              </a:ln>
            </c:spPr>
          </c:marker>
          <c:cat>
            <c:strRef>
              <c:f>'Gráficas'!$A$4:$A$10</c:f>
            </c:strRef>
          </c:cat>
          <c:val>
            <c:numRef>
              <c:f>'Gráficas'!$G$4:$G$10</c:f>
              <c:numCache/>
            </c:numRef>
          </c:val>
          <c:smooth val="0"/>
        </c:ser>
        <c:axId val="102306878"/>
        <c:axId val="118799235"/>
      </c:lineChart>
      <c:catAx>
        <c:axId val="102306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Nº Procs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799235"/>
      </c:catAx>
      <c:valAx>
        <c:axId val="1187992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068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13</xdr:row>
      <xdr:rowOff>0</xdr:rowOff>
    </xdr:from>
    <xdr:ext cx="6515100" cy="4905375"/>
    <xdr:graphicFrame>
      <xdr:nvGraphicFramePr>
        <xdr:cNvPr id="94505512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13</xdr:row>
      <xdr:rowOff>0</xdr:rowOff>
    </xdr:from>
    <xdr:ext cx="6496050" cy="4905375"/>
    <xdr:pic>
      <xdr:nvPicPr>
        <xdr:cNvPr id="1507610895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6515100" cy="4905375"/>
    <xdr:pic>
      <xdr:nvPicPr>
        <xdr:cNvPr id="482039779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1.86"/>
    <col customWidth="1" min="3" max="3" width="14.71"/>
    <col customWidth="1" min="4" max="4" width="16.0"/>
    <col customWidth="1" min="5" max="5" width="14.0"/>
    <col customWidth="1" min="6" max="6" width="13.29"/>
    <col customWidth="1" min="7" max="7" width="11.0"/>
    <col customWidth="1" min="8" max="8" width="16.0"/>
    <col customWidth="1" min="9" max="9" width="14.0"/>
    <col customWidth="1" min="10" max="10" width="9.0"/>
    <col customWidth="1" min="11" max="11" width="11.0"/>
    <col customWidth="1" min="12" max="12" width="16.0"/>
    <col customWidth="1" min="13" max="13" width="14.0"/>
    <col customWidth="1" min="14" max="14" width="9.0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3.5" customHeight="1">
      <c r="A3" s="6"/>
      <c r="B3" s="6"/>
      <c r="C3" s="6"/>
      <c r="D3" s="6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7"/>
      <c r="B5" s="3"/>
      <c r="C5" s="8" t="s">
        <v>1</v>
      </c>
      <c r="D5" s="2"/>
      <c r="E5" s="2"/>
      <c r="F5" s="3"/>
      <c r="G5" s="9" t="s">
        <v>2</v>
      </c>
      <c r="H5" s="2"/>
      <c r="I5" s="2"/>
      <c r="J5" s="3"/>
      <c r="K5" s="10" t="s">
        <v>3</v>
      </c>
      <c r="L5" s="2"/>
      <c r="M5" s="2"/>
      <c r="N5" s="3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1.5" customHeight="1">
      <c r="A6" s="11" t="s">
        <v>4</v>
      </c>
      <c r="B6" s="12" t="s">
        <v>5</v>
      </c>
      <c r="C6" s="12" t="s">
        <v>6</v>
      </c>
      <c r="D6" s="12" t="s">
        <v>7</v>
      </c>
      <c r="E6" s="12" t="s">
        <v>8</v>
      </c>
      <c r="F6" s="12" t="s">
        <v>9</v>
      </c>
      <c r="G6" s="12" t="s">
        <v>6</v>
      </c>
      <c r="H6" s="12" t="s">
        <v>7</v>
      </c>
      <c r="I6" s="12" t="s">
        <v>8</v>
      </c>
      <c r="J6" s="12" t="s">
        <v>9</v>
      </c>
      <c r="K6" s="12" t="s">
        <v>6</v>
      </c>
      <c r="L6" s="12" t="s">
        <v>7</v>
      </c>
      <c r="M6" s="12" t="s">
        <v>8</v>
      </c>
      <c r="N6" s="13" t="s">
        <v>9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">
        <v>2.0</v>
      </c>
      <c r="B7" s="15">
        <f t="shared" ref="B7:B13" si="1">A7-1</f>
        <v>1</v>
      </c>
      <c r="C7" s="16">
        <v>171.675523</v>
      </c>
      <c r="D7" s="17">
        <v>1.03872728E8</v>
      </c>
      <c r="E7" s="18">
        <f t="shared" ref="E7:E13" si="2">IFERROR(D7/C7,"")</f>
        <v>605052.6376</v>
      </c>
      <c r="F7" s="19">
        <f>IFERROR(E7/E7,"")</f>
        <v>1</v>
      </c>
      <c r="G7" s="20">
        <v>163.294383</v>
      </c>
      <c r="H7" s="17">
        <v>1.03872728E8</v>
      </c>
      <c r="I7" s="18">
        <f t="shared" ref="I7:I13" si="3">IFERROR(H7/G7,"")</f>
        <v>636107.1709</v>
      </c>
      <c r="J7" s="19">
        <f>IFERROR(I7/E7,"")</f>
        <v>1.051325342</v>
      </c>
      <c r="K7" s="20">
        <v>169.186615</v>
      </c>
      <c r="L7" s="17">
        <v>1.03872728E8</v>
      </c>
      <c r="M7" s="18">
        <f t="shared" ref="M7:M13" si="4">IFERROR(L7/K7,"")</f>
        <v>613953.5802</v>
      </c>
      <c r="N7" s="21">
        <f>IFERROR(M7/E7,"")</f>
        <v>1.014711022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">
        <v>3.0</v>
      </c>
      <c r="B8" s="15">
        <f t="shared" si="1"/>
        <v>2</v>
      </c>
      <c r="C8" s="16">
        <v>197.350411</v>
      </c>
      <c r="D8" s="20">
        <v>2.07652843E8</v>
      </c>
      <c r="E8" s="18">
        <f t="shared" si="2"/>
        <v>1052203.752</v>
      </c>
      <c r="F8" s="19">
        <f>IFERROR(E8/E7,"")</f>
        <v>1.739028453</v>
      </c>
      <c r="G8" s="20">
        <v>181.132923</v>
      </c>
      <c r="H8" s="20">
        <v>2.07572728E8</v>
      </c>
      <c r="I8" s="18">
        <f t="shared" si="3"/>
        <v>1145969.074</v>
      </c>
      <c r="J8" s="19">
        <f>IFERROR(I8/E7,"")</f>
        <v>1.893998972</v>
      </c>
      <c r="K8" s="20">
        <v>187.911873</v>
      </c>
      <c r="L8" s="20">
        <v>2.07652728E8</v>
      </c>
      <c r="M8" s="18">
        <f t="shared" si="4"/>
        <v>1105053.793</v>
      </c>
      <c r="N8" s="21">
        <f>IFERROR(M8/E7,"")</f>
        <v>1.826376292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">
        <v>5.0</v>
      </c>
      <c r="B9" s="15">
        <f t="shared" si="1"/>
        <v>4</v>
      </c>
      <c r="C9" s="22">
        <v>39.217615</v>
      </c>
      <c r="D9" s="20">
        <v>6.2010633E7</v>
      </c>
      <c r="E9" s="18">
        <f t="shared" si="2"/>
        <v>1581193.374</v>
      </c>
      <c r="F9" s="19">
        <f>IFERROR(E9/E7,"")</f>
        <v>2.613315398</v>
      </c>
      <c r="G9" s="20">
        <v>37.591189</v>
      </c>
      <c r="H9" s="20">
        <v>6.0739843E7</v>
      </c>
      <c r="I9" s="18">
        <f t="shared" si="3"/>
        <v>1615799.995</v>
      </c>
      <c r="J9" s="19">
        <f>IFERROR(I9/E7,"")</f>
        <v>2.670511448</v>
      </c>
      <c r="K9" s="23">
        <v>63.669422</v>
      </c>
      <c r="L9" s="20">
        <v>1.03249843E8</v>
      </c>
      <c r="M9" s="18">
        <f t="shared" si="4"/>
        <v>1621655.102</v>
      </c>
      <c r="N9" s="21">
        <f>IFERROR(M9/E7,"")</f>
        <v>2.680188468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">
        <v>9.0</v>
      </c>
      <c r="B10" s="15">
        <f t="shared" si="1"/>
        <v>8</v>
      </c>
      <c r="C10" s="20">
        <v>97.134344</v>
      </c>
      <c r="D10" s="20">
        <v>1.51797145E8</v>
      </c>
      <c r="E10" s="18">
        <f t="shared" si="2"/>
        <v>1562754.622</v>
      </c>
      <c r="F10" s="19">
        <f>IFERROR(E10/E7,"")</f>
        <v>2.582840772</v>
      </c>
      <c r="G10" s="16">
        <v>78.17603</v>
      </c>
      <c r="H10" s="20">
        <v>1.61109843E8</v>
      </c>
      <c r="I10" s="18">
        <f t="shared" si="3"/>
        <v>2060859.87</v>
      </c>
      <c r="J10" s="19">
        <f>IFERROR(I10/E7,"")</f>
        <v>3.406083606</v>
      </c>
      <c r="K10" s="23">
        <v>79.549789</v>
      </c>
      <c r="L10" s="20">
        <v>1.60309843E8</v>
      </c>
      <c r="M10" s="18">
        <f t="shared" si="4"/>
        <v>2015213.931</v>
      </c>
      <c r="N10" s="21">
        <f>IFERROR(M10/E7,"")</f>
        <v>3.330642337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">
        <v>17.0</v>
      </c>
      <c r="B11" s="15">
        <f t="shared" si="1"/>
        <v>16</v>
      </c>
      <c r="C11" s="20">
        <v>234.897423</v>
      </c>
      <c r="D11" s="20">
        <v>3.27212698E8</v>
      </c>
      <c r="E11" s="18">
        <f t="shared" si="2"/>
        <v>1393002.502</v>
      </c>
      <c r="F11" s="19">
        <f>IFERROR(E11/E7,"")</f>
        <v>2.302283166</v>
      </c>
      <c r="G11" s="20">
        <v>149.072501</v>
      </c>
      <c r="H11" s="20">
        <v>3.08179843E8</v>
      </c>
      <c r="I11" s="18">
        <f t="shared" si="3"/>
        <v>2067315.172</v>
      </c>
      <c r="J11" s="19">
        <f>IFERROR(I11/E7,"")</f>
        <v>3.416752598</v>
      </c>
      <c r="K11" s="16">
        <v>161.59968</v>
      </c>
      <c r="L11" s="20">
        <v>3.24999843E8</v>
      </c>
      <c r="M11" s="18">
        <f t="shared" si="4"/>
        <v>2011141.625</v>
      </c>
      <c r="N11" s="21">
        <f>IFERROR(M11/E7,"")</f>
        <v>3.323911838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">
        <v>33.0</v>
      </c>
      <c r="B12" s="15">
        <f t="shared" si="1"/>
        <v>32</v>
      </c>
      <c r="C12" s="16">
        <v>227.446613</v>
      </c>
      <c r="D12" s="20">
        <v>3.1871204E8</v>
      </c>
      <c r="E12" s="18">
        <f t="shared" si="2"/>
        <v>1401260.875</v>
      </c>
      <c r="F12" s="19">
        <f>IFERROR(E12/E7,"")</f>
        <v>2.315932182</v>
      </c>
      <c r="G12" s="20">
        <v>155.163777</v>
      </c>
      <c r="H12" s="20">
        <v>3.33669329E8</v>
      </c>
      <c r="I12" s="18">
        <f t="shared" si="3"/>
        <v>2150433.145</v>
      </c>
      <c r="J12" s="19">
        <f>IFERROR(I12/E7,"")</f>
        <v>3.554125727</v>
      </c>
      <c r="K12" s="20">
        <v>165.200306</v>
      </c>
      <c r="L12" s="20">
        <v>3.47649329E8</v>
      </c>
      <c r="M12" s="18">
        <f t="shared" si="4"/>
        <v>2104410.926</v>
      </c>
      <c r="N12" s="21">
        <f>IFERROR(M12/E7,"")</f>
        <v>3.478062561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24">
        <v>65.0</v>
      </c>
      <c r="B13" s="25">
        <f t="shared" si="1"/>
        <v>64</v>
      </c>
      <c r="C13" s="26">
        <v>122.587327</v>
      </c>
      <c r="D13" s="27">
        <v>1.67875938E8</v>
      </c>
      <c r="E13" s="28">
        <f t="shared" si="2"/>
        <v>1369439.583</v>
      </c>
      <c r="F13" s="29">
        <f>IFERROR(E13/E7,"")</f>
        <v>2.263339581</v>
      </c>
      <c r="G13" s="27">
        <v>79.396125</v>
      </c>
      <c r="H13" s="27">
        <v>1.75616355E8</v>
      </c>
      <c r="I13" s="28">
        <f t="shared" si="3"/>
        <v>2211900.833</v>
      </c>
      <c r="J13" s="29">
        <f>IFERROR(I13/E7,"")</f>
        <v>3.655716371</v>
      </c>
      <c r="K13" s="30">
        <v>85.399922</v>
      </c>
      <c r="L13" s="27">
        <v>1.87266355E8</v>
      </c>
      <c r="M13" s="28">
        <f t="shared" si="4"/>
        <v>2192816.464</v>
      </c>
      <c r="N13" s="31">
        <f>IFERROR(M13/E7,"")</f>
        <v>3.624174705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32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35" t="s">
        <v>10</v>
      </c>
      <c r="I16" s="36"/>
      <c r="J16" s="36"/>
      <c r="K16" s="36"/>
      <c r="L16" s="36"/>
      <c r="M16" s="36"/>
      <c r="N16" s="37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38"/>
      <c r="B17" s="39">
        <v>1.0</v>
      </c>
      <c r="C17" s="39">
        <v>2.0</v>
      </c>
      <c r="D17" s="39">
        <v>4.0</v>
      </c>
      <c r="E17" s="39">
        <v>8.0</v>
      </c>
      <c r="F17" s="39">
        <v>16.0</v>
      </c>
      <c r="G17" s="39">
        <v>32.0</v>
      </c>
      <c r="H17" s="39">
        <v>64.0</v>
      </c>
      <c r="I17" s="36"/>
      <c r="J17" s="36"/>
      <c r="K17" s="36"/>
      <c r="L17" s="36"/>
      <c r="M17" s="36"/>
      <c r="N17" s="37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0" t="s">
        <v>11</v>
      </c>
      <c r="B18" s="41">
        <v>2.0299467E7</v>
      </c>
      <c r="C18" s="42">
        <v>4.0583187E7</v>
      </c>
      <c r="D18" s="42">
        <v>1.2119209E7</v>
      </c>
      <c r="E18" s="42">
        <v>2.9661003E7</v>
      </c>
      <c r="F18" s="42">
        <v>6.3930216E7</v>
      </c>
      <c r="G18" s="42">
        <v>6.2272289E7</v>
      </c>
      <c r="H18" s="42">
        <v>3.279927E7</v>
      </c>
      <c r="I18" s="36"/>
      <c r="J18" s="36"/>
      <c r="K18" s="36"/>
      <c r="L18" s="36"/>
      <c r="M18" s="36"/>
      <c r="N18" s="37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3" t="s">
        <v>12</v>
      </c>
      <c r="B19" s="41">
        <v>12.0</v>
      </c>
      <c r="C19" s="41">
        <v>24.0</v>
      </c>
      <c r="D19" s="42">
        <v>9.0</v>
      </c>
      <c r="E19" s="41">
        <v>20.0</v>
      </c>
      <c r="F19" s="42">
        <v>30.0</v>
      </c>
      <c r="G19" s="42">
        <v>35.0</v>
      </c>
      <c r="H19" s="42">
        <v>22.0</v>
      </c>
      <c r="I19" s="36"/>
      <c r="J19" s="36"/>
      <c r="K19" s="36"/>
      <c r="L19" s="36"/>
      <c r="M19" s="36"/>
      <c r="N19" s="37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4" t="s">
        <v>13</v>
      </c>
      <c r="B20" s="41">
        <v>1.0</v>
      </c>
      <c r="C20" s="41">
        <v>1.0</v>
      </c>
      <c r="D20" s="41">
        <v>1.0</v>
      </c>
      <c r="E20" s="41">
        <v>1.0</v>
      </c>
      <c r="F20" s="41">
        <v>1.0</v>
      </c>
      <c r="G20" s="41">
        <v>1.0</v>
      </c>
      <c r="H20" s="41">
        <v>1.0</v>
      </c>
      <c r="I20" s="45"/>
      <c r="J20" s="45"/>
      <c r="K20" s="45"/>
      <c r="L20" s="45"/>
      <c r="M20" s="45"/>
      <c r="N20" s="46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6">
    <mergeCell ref="A1:N1"/>
    <mergeCell ref="A5:B5"/>
    <mergeCell ref="C5:F5"/>
    <mergeCell ref="G5:J5"/>
    <mergeCell ref="K5:N5"/>
    <mergeCell ref="A16:H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9.0"/>
    <col customWidth="1" min="3" max="3" width="11.0"/>
    <col customWidth="1" min="4" max="4" width="16.0"/>
    <col customWidth="1" min="5" max="5" width="14.0"/>
    <col customWidth="1" min="6" max="6" width="9.0"/>
    <col customWidth="1" min="7" max="7" width="11.0"/>
    <col customWidth="1" min="8" max="8" width="16.0"/>
    <col customWidth="1" min="9" max="9" width="14.0"/>
    <col customWidth="1" min="10" max="10" width="9.0"/>
    <col customWidth="1" min="11" max="11" width="11.0"/>
    <col customWidth="1" min="12" max="12" width="16.0"/>
    <col customWidth="1" min="13" max="13" width="14.0"/>
    <col customWidth="1" min="14" max="14" width="9.0"/>
  </cols>
  <sheetData>
    <row r="1" ht="27.75" customHeight="1">
      <c r="A1" s="1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5" t="s">
        <v>15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3.5" customHeight="1">
      <c r="A3" s="6" t="s">
        <v>16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7"/>
      <c r="B5" s="3"/>
      <c r="C5" s="8" t="s">
        <v>1</v>
      </c>
      <c r="D5" s="2"/>
      <c r="E5" s="2"/>
      <c r="F5" s="3"/>
      <c r="G5" s="9" t="s">
        <v>2</v>
      </c>
      <c r="H5" s="2"/>
      <c r="I5" s="2"/>
      <c r="J5" s="3"/>
      <c r="K5" s="10" t="s">
        <v>3</v>
      </c>
      <c r="L5" s="2"/>
      <c r="M5" s="2"/>
      <c r="N5" s="3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1.5" customHeight="1">
      <c r="A6" s="11" t="s">
        <v>4</v>
      </c>
      <c r="B6" s="12" t="s">
        <v>5</v>
      </c>
      <c r="C6" s="12" t="s">
        <v>6</v>
      </c>
      <c r="D6" s="12" t="s">
        <v>7</v>
      </c>
      <c r="E6" s="12" t="s">
        <v>8</v>
      </c>
      <c r="F6" s="12" t="s">
        <v>9</v>
      </c>
      <c r="G6" s="12" t="s">
        <v>6</v>
      </c>
      <c r="H6" s="12" t="s">
        <v>7</v>
      </c>
      <c r="I6" s="12" t="s">
        <v>8</v>
      </c>
      <c r="J6" s="12" t="s">
        <v>9</v>
      </c>
      <c r="K6" s="12" t="s">
        <v>6</v>
      </c>
      <c r="L6" s="12" t="s">
        <v>7</v>
      </c>
      <c r="M6" s="12" t="s">
        <v>8</v>
      </c>
      <c r="N6" s="13" t="s">
        <v>9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">
        <v>2.0</v>
      </c>
      <c r="B7" s="15">
        <f t="shared" ref="B7:B13" si="1">A7-1</f>
        <v>1</v>
      </c>
      <c r="C7" s="17"/>
      <c r="D7" s="17"/>
      <c r="E7" s="18" t="str">
        <f t="shared" ref="E7:E13" si="2">IFERROR(D7/C7,"")</f>
        <v/>
      </c>
      <c r="F7" s="19" t="str">
        <f>IFERROR(E7/E7,"")</f>
        <v/>
      </c>
      <c r="G7" s="17"/>
      <c r="H7" s="17"/>
      <c r="I7" s="18" t="str">
        <f t="shared" ref="I7:I13" si="3">IFERROR(H7/G7,"")</f>
        <v/>
      </c>
      <c r="J7" s="19" t="str">
        <f>IFERROR(I7/E7,"")</f>
        <v/>
      </c>
      <c r="K7" s="17"/>
      <c r="L7" s="17"/>
      <c r="M7" s="18" t="str">
        <f t="shared" ref="M7:M13" si="4">IFERROR(L7/K7,"")</f>
        <v/>
      </c>
      <c r="N7" s="21" t="str">
        <f>IFERROR(M7/E7,"")</f>
        <v/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">
        <v>3.0</v>
      </c>
      <c r="B8" s="15">
        <f t="shared" si="1"/>
        <v>2</v>
      </c>
      <c r="C8" s="17"/>
      <c r="D8" s="17"/>
      <c r="E8" s="18" t="str">
        <f t="shared" si="2"/>
        <v/>
      </c>
      <c r="F8" s="19" t="str">
        <f>IFERROR(E8/E7,"")</f>
        <v/>
      </c>
      <c r="G8" s="17"/>
      <c r="H8" s="17"/>
      <c r="I8" s="18" t="str">
        <f t="shared" si="3"/>
        <v/>
      </c>
      <c r="J8" s="19" t="str">
        <f>IFERROR(I8/E7,"")</f>
        <v/>
      </c>
      <c r="K8" s="17"/>
      <c r="L8" s="17"/>
      <c r="M8" s="18" t="str">
        <f t="shared" si="4"/>
        <v/>
      </c>
      <c r="N8" s="21" t="str">
        <f>IFERROR(M8/E7,"")</f>
        <v/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">
        <v>5.0</v>
      </c>
      <c r="B9" s="15">
        <f t="shared" si="1"/>
        <v>4</v>
      </c>
      <c r="C9" s="17"/>
      <c r="D9" s="17"/>
      <c r="E9" s="18" t="str">
        <f t="shared" si="2"/>
        <v/>
      </c>
      <c r="F9" s="19" t="str">
        <f>IFERROR(E9/E7,"")</f>
        <v/>
      </c>
      <c r="G9" s="17"/>
      <c r="H9" s="17"/>
      <c r="I9" s="18" t="str">
        <f t="shared" si="3"/>
        <v/>
      </c>
      <c r="J9" s="19" t="str">
        <f>IFERROR(I9/E7,"")</f>
        <v/>
      </c>
      <c r="K9" s="17"/>
      <c r="L9" s="17"/>
      <c r="M9" s="18" t="str">
        <f t="shared" si="4"/>
        <v/>
      </c>
      <c r="N9" s="21" t="str">
        <f>IFERROR(M9/E7,"")</f>
        <v/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">
        <v>9.0</v>
      </c>
      <c r="B10" s="15">
        <f t="shared" si="1"/>
        <v>8</v>
      </c>
      <c r="C10" s="17"/>
      <c r="D10" s="17"/>
      <c r="E10" s="18" t="str">
        <f t="shared" si="2"/>
        <v/>
      </c>
      <c r="F10" s="19" t="str">
        <f>IFERROR(E10/E7,"")</f>
        <v/>
      </c>
      <c r="G10" s="17"/>
      <c r="H10" s="17"/>
      <c r="I10" s="18" t="str">
        <f t="shared" si="3"/>
        <v/>
      </c>
      <c r="J10" s="19" t="str">
        <f>IFERROR(I10/E7,"")</f>
        <v/>
      </c>
      <c r="K10" s="17"/>
      <c r="L10" s="17"/>
      <c r="M10" s="18" t="str">
        <f t="shared" si="4"/>
        <v/>
      </c>
      <c r="N10" s="21" t="str">
        <f>IFERROR(M10/E7,"")</f>
        <v/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">
        <v>17.0</v>
      </c>
      <c r="B11" s="15">
        <f t="shared" si="1"/>
        <v>16</v>
      </c>
      <c r="C11" s="17"/>
      <c r="D11" s="17"/>
      <c r="E11" s="18" t="str">
        <f t="shared" si="2"/>
        <v/>
      </c>
      <c r="F11" s="19" t="str">
        <f>IFERROR(E11/E7,"")</f>
        <v/>
      </c>
      <c r="G11" s="17"/>
      <c r="H11" s="17"/>
      <c r="I11" s="18" t="str">
        <f t="shared" si="3"/>
        <v/>
      </c>
      <c r="J11" s="19" t="str">
        <f>IFERROR(I11/E7,"")</f>
        <v/>
      </c>
      <c r="K11" s="17"/>
      <c r="L11" s="17"/>
      <c r="M11" s="18" t="str">
        <f t="shared" si="4"/>
        <v/>
      </c>
      <c r="N11" s="21" t="str">
        <f>IFERROR(M11/E7,"")</f>
        <v/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">
        <v>33.0</v>
      </c>
      <c r="B12" s="15">
        <f t="shared" si="1"/>
        <v>32</v>
      </c>
      <c r="C12" s="17"/>
      <c r="D12" s="17"/>
      <c r="E12" s="18" t="str">
        <f t="shared" si="2"/>
        <v/>
      </c>
      <c r="F12" s="19" t="str">
        <f>IFERROR(E12/E7,"")</f>
        <v/>
      </c>
      <c r="G12" s="17"/>
      <c r="H12" s="17"/>
      <c r="I12" s="18" t="str">
        <f t="shared" si="3"/>
        <v/>
      </c>
      <c r="J12" s="19" t="str">
        <f>IFERROR(I12/E7,"")</f>
        <v/>
      </c>
      <c r="K12" s="17"/>
      <c r="L12" s="17"/>
      <c r="M12" s="18" t="str">
        <f t="shared" si="4"/>
        <v/>
      </c>
      <c r="N12" s="21" t="str">
        <f>IFERROR(M12/E7,"")</f>
        <v/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24">
        <v>65.0</v>
      </c>
      <c r="B13" s="25">
        <f t="shared" si="1"/>
        <v>64</v>
      </c>
      <c r="C13" s="47"/>
      <c r="D13" s="47"/>
      <c r="E13" s="28" t="str">
        <f t="shared" si="2"/>
        <v/>
      </c>
      <c r="F13" s="29" t="str">
        <f>IFERROR(E13/E7,"")</f>
        <v/>
      </c>
      <c r="G13" s="47"/>
      <c r="H13" s="47"/>
      <c r="I13" s="28" t="str">
        <f t="shared" si="3"/>
        <v/>
      </c>
      <c r="J13" s="29" t="str">
        <f>IFERROR(I13/E7,"")</f>
        <v/>
      </c>
      <c r="K13" s="47"/>
      <c r="L13" s="47"/>
      <c r="M13" s="28" t="str">
        <f t="shared" si="4"/>
        <v/>
      </c>
      <c r="N13" s="31" t="str">
        <f>IFERROR(M13/E7,"")</f>
        <v/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8" t="s">
        <v>17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50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51"/>
      <c r="N16" s="52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51"/>
      <c r="N17" s="52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51"/>
      <c r="N18" s="52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51"/>
      <c r="N19" s="52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53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5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8">
    <mergeCell ref="A1:N1"/>
    <mergeCell ref="A2:N2"/>
    <mergeCell ref="A3:D3"/>
    <mergeCell ref="A5:B5"/>
    <mergeCell ref="C5:F5"/>
    <mergeCell ref="G5:J5"/>
    <mergeCell ref="K5:N5"/>
    <mergeCell ref="A15:N2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14.0"/>
    <col customWidth="1" min="11" max="18" width="8.71"/>
  </cols>
  <sheetData>
    <row r="1" ht="27.75" customHeight="1">
      <c r="A1" s="1" t="s">
        <v>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56" t="s">
        <v>19</v>
      </c>
      <c r="B3" s="56" t="s">
        <v>20</v>
      </c>
      <c r="C3" s="56" t="s">
        <v>21</v>
      </c>
      <c r="D3" s="56" t="s">
        <v>22</v>
      </c>
      <c r="E3" s="56" t="s">
        <v>23</v>
      </c>
      <c r="F3" s="56" t="s">
        <v>24</v>
      </c>
      <c r="G3" s="56" t="s">
        <v>25</v>
      </c>
      <c r="H3" s="56" t="s">
        <v>26</v>
      </c>
      <c r="I3" s="56" t="s">
        <v>27</v>
      </c>
      <c r="J3" s="56" t="s">
        <v>28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57">
        <v>1.0</v>
      </c>
      <c r="B4" s="58">
        <f>'Una Máquina'!C7</f>
        <v>171.675523</v>
      </c>
      <c r="C4" s="57">
        <f>'Una Máquina'!G7</f>
        <v>163.294383</v>
      </c>
      <c r="D4" s="57">
        <f>'Una Máquina'!K7</f>
        <v>169.186615</v>
      </c>
      <c r="E4" s="59">
        <f>'Una Máquina'!E7</f>
        <v>605052.6376</v>
      </c>
      <c r="F4" s="59">
        <f>'Una Máquina'!I7</f>
        <v>636107.1709</v>
      </c>
      <c r="G4" s="59">
        <f>'Una Máquina'!M7</f>
        <v>613953.5802</v>
      </c>
      <c r="H4" s="60">
        <f>'Una Máquina'!F7</f>
        <v>1</v>
      </c>
      <c r="I4" s="60">
        <f>'Una Máquina'!J7</f>
        <v>1.051325342</v>
      </c>
      <c r="J4" s="60">
        <f>'Una Máquina'!N7</f>
        <v>1.014711022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57">
        <v>2.0</v>
      </c>
      <c r="B5" s="58">
        <f>'Una Máquina'!C8</f>
        <v>197.350411</v>
      </c>
      <c r="C5" s="57">
        <f>'Una Máquina'!G8</f>
        <v>181.132923</v>
      </c>
      <c r="D5" s="57">
        <f>'Una Máquina'!K8</f>
        <v>187.911873</v>
      </c>
      <c r="E5" s="59">
        <f>'Una Máquina'!E8</f>
        <v>1052203.752</v>
      </c>
      <c r="F5" s="59">
        <f>'Una Máquina'!I8</f>
        <v>1145969.074</v>
      </c>
      <c r="G5" s="59">
        <f>'Una Máquina'!M8</f>
        <v>1105053.793</v>
      </c>
      <c r="H5" s="60">
        <f>'Una Máquina'!F8</f>
        <v>1.739028453</v>
      </c>
      <c r="I5" s="60">
        <f>'Una Máquina'!J8</f>
        <v>1.893998972</v>
      </c>
      <c r="J5" s="60">
        <f>'Una Máquina'!N8</f>
        <v>1.826376292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57">
        <v>4.0</v>
      </c>
      <c r="B6" s="61">
        <f>'Una Máquina'!C9</f>
        <v>39.217615</v>
      </c>
      <c r="C6" s="57">
        <f>'Una Máquina'!G9</f>
        <v>37.591189</v>
      </c>
      <c r="D6" s="62">
        <f>'Una Máquina'!K9</f>
        <v>63.669422</v>
      </c>
      <c r="E6" s="59">
        <f>'Una Máquina'!E9</f>
        <v>1581193.374</v>
      </c>
      <c r="F6" s="59">
        <f>'Una Máquina'!I9</f>
        <v>1615799.995</v>
      </c>
      <c r="G6" s="59">
        <f>'Una Máquina'!M9</f>
        <v>1621655.102</v>
      </c>
      <c r="H6" s="60">
        <f>'Una Máquina'!F9</f>
        <v>2.613315398</v>
      </c>
      <c r="I6" s="60">
        <f>'Una Máquina'!J9</f>
        <v>2.670511448</v>
      </c>
      <c r="J6" s="60">
        <f>'Una Máquina'!N9</f>
        <v>2.680188468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57">
        <v>8.0</v>
      </c>
      <c r="B7" s="57">
        <f>'Una Máquina'!C10</f>
        <v>97.134344</v>
      </c>
      <c r="C7" s="58">
        <f>'Una Máquina'!G10</f>
        <v>78.17603</v>
      </c>
      <c r="D7" s="62">
        <f>'Una Máquina'!K10</f>
        <v>79.549789</v>
      </c>
      <c r="E7" s="59">
        <f>'Una Máquina'!E10</f>
        <v>1562754.622</v>
      </c>
      <c r="F7" s="59">
        <f>'Una Máquina'!I10</f>
        <v>2060859.87</v>
      </c>
      <c r="G7" s="59">
        <f>'Una Máquina'!M10</f>
        <v>2015213.931</v>
      </c>
      <c r="H7" s="60">
        <f>'Una Máquina'!F10</f>
        <v>2.582840772</v>
      </c>
      <c r="I7" s="60">
        <f>'Una Máquina'!J10</f>
        <v>3.406083606</v>
      </c>
      <c r="J7" s="60">
        <f>'Una Máquina'!N10</f>
        <v>3.330642337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57">
        <v>16.0</v>
      </c>
      <c r="B8" s="57">
        <f>'Una Máquina'!C11</f>
        <v>234.897423</v>
      </c>
      <c r="C8" s="57">
        <f>'Una Máquina'!G11</f>
        <v>149.072501</v>
      </c>
      <c r="D8" s="58">
        <f>'Una Máquina'!K11</f>
        <v>161.59968</v>
      </c>
      <c r="E8" s="59">
        <f>'Una Máquina'!E11</f>
        <v>1393002.502</v>
      </c>
      <c r="F8" s="59">
        <f>'Una Máquina'!I11</f>
        <v>2067315.172</v>
      </c>
      <c r="G8" s="59">
        <f>'Una Máquina'!M11</f>
        <v>2011141.625</v>
      </c>
      <c r="H8" s="60">
        <f>'Una Máquina'!F11</f>
        <v>2.302283166</v>
      </c>
      <c r="I8" s="60">
        <f>'Una Máquina'!J11</f>
        <v>3.416752598</v>
      </c>
      <c r="J8" s="60">
        <f>'Una Máquina'!N11</f>
        <v>3.323911838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57">
        <v>32.0</v>
      </c>
      <c r="B9" s="58">
        <f>'Una Máquina'!C12</f>
        <v>227.446613</v>
      </c>
      <c r="C9" s="57">
        <f>'Una Máquina'!G12</f>
        <v>155.163777</v>
      </c>
      <c r="D9" s="57">
        <f>'Una Máquina'!K12</f>
        <v>165.200306</v>
      </c>
      <c r="E9" s="59">
        <f>'Una Máquina'!E12</f>
        <v>1401260.875</v>
      </c>
      <c r="F9" s="59">
        <f>'Una Máquina'!I12</f>
        <v>2150433.145</v>
      </c>
      <c r="G9" s="59">
        <f>'Una Máquina'!M12</f>
        <v>2104410.926</v>
      </c>
      <c r="H9" s="60">
        <f>'Una Máquina'!F12</f>
        <v>2.315932182</v>
      </c>
      <c r="I9" s="60">
        <f>'Una Máquina'!J12</f>
        <v>3.554125727</v>
      </c>
      <c r="J9" s="60">
        <f>'Una Máquina'!N12</f>
        <v>3.478062561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57">
        <v>64.0</v>
      </c>
      <c r="B10" s="63">
        <f>'Una Máquina'!C13</f>
        <v>122.587327</v>
      </c>
      <c r="C10" s="57">
        <f>'Una Máquina'!G13</f>
        <v>79.396125</v>
      </c>
      <c r="D10" s="58">
        <f>'Una Máquina'!K13</f>
        <v>85.399922</v>
      </c>
      <c r="E10" s="59">
        <f>'Una Máquina'!E13</f>
        <v>1369439.583</v>
      </c>
      <c r="F10" s="59">
        <f>'Una Máquina'!I13</f>
        <v>2211900.833</v>
      </c>
      <c r="G10" s="59">
        <f>'Una Máquina'!M13</f>
        <v>2192816.464</v>
      </c>
      <c r="H10" s="60">
        <f>'Una Máquina'!F13</f>
        <v>2.263339581</v>
      </c>
      <c r="I10" s="60">
        <f>'Una Máquina'!J13</f>
        <v>3.655716371</v>
      </c>
      <c r="J10" s="60">
        <f>'Una Máquina'!N13</f>
        <v>3.624174705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64" t="s">
        <v>29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32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6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7"/>
      <c r="S73" s="4"/>
      <c r="T73" s="4"/>
      <c r="U73" s="4"/>
      <c r="V73" s="4"/>
      <c r="W73" s="4"/>
      <c r="X73" s="4"/>
      <c r="Y73" s="4"/>
      <c r="Z73" s="4"/>
    </row>
    <row r="74" ht="13.5" customHeight="1">
      <c r="A74" s="6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7"/>
      <c r="S74" s="4"/>
      <c r="T74" s="4"/>
      <c r="U74" s="4"/>
      <c r="V74" s="4"/>
      <c r="W74" s="4"/>
      <c r="X74" s="4"/>
      <c r="Y74" s="4"/>
      <c r="Z74" s="4"/>
    </row>
    <row r="75" ht="13.5" customHeight="1">
      <c r="A75" s="66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6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R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2026-02-28T11:03:48Z</dcterms:created>
  <dc:creator>openpyxl</dc:creator>
</cp:coreProperties>
</file>