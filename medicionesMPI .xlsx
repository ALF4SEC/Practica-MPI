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a Máquina" sheetId="1" state="visible" r:id="rId1"/>
    <sheet xmlns:r="http://schemas.openxmlformats.org/officeDocument/2006/relationships" name="Varias Máquinas" sheetId="2" state="visible" r:id="rId2"/>
    <sheet xmlns:r="http://schemas.openxmlformats.org/officeDocument/2006/relationships" name="Gráf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00"/>
    <numFmt numFmtId="165" formatCode="#,##0.0000000"/>
    <numFmt numFmtId="166" formatCode="0.0000000"/>
    <numFmt numFmtId="167" formatCode="0.000000"/>
  </numFmts>
  <fonts count="15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i val="1"/>
      <color rgb="FF595959"/>
      <sz val="9"/>
    </font>
    <font>
      <name val="Arial"/>
      <b val="1"/>
      <color rgb="FF2F5496"/>
      <sz val="9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color rgb="FF000080"/>
      <sz val="10"/>
    </font>
    <font>
      <name val="Arial"/>
      <color rgb="FF000000"/>
      <sz val="10"/>
    </font>
    <font>
      <name val="Arial"/>
      <i val="1"/>
      <color rgb="FF404040"/>
      <sz val="9"/>
    </font>
    <font>
      <name val="Arial"/>
      <color theme="1"/>
      <sz val="10"/>
    </font>
    <font>
      <name val="Arial"/>
      <b val="1"/>
      <color rgb="001F497D"/>
      <sz val="12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color rgb="00000080"/>
      <sz val="10"/>
    </font>
  </fonts>
  <fills count="1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497D"/>
        <bgColor rgb="FF1F497D"/>
      </patternFill>
    </fill>
    <fill>
      <patternFill patternType="solid">
        <fgColor rgb="FF375623"/>
        <bgColor rgb="FF375623"/>
      </patternFill>
    </fill>
    <fill>
      <patternFill patternType="solid">
        <fgColor rgb="FF7B2C2C"/>
        <bgColor rgb="FF7B2C2C"/>
      </patternFill>
    </fill>
    <fill>
      <patternFill patternType="solid">
        <fgColor rgb="FF2F5496"/>
        <bgColor rgb="FF2F5496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002F5496"/>
      </patternFill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375623"/>
      </patternFill>
    </fill>
    <fill>
      <patternFill patternType="solid">
        <fgColor rgb="007B2C2C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 style="medium">
        <color rgb="FF2F5496"/>
      </left>
      <right style="thin">
        <color rgb="FFB8CCE4"/>
      </right>
      <top style="medium">
        <color rgb="FF2F5496"/>
      </top>
      <bottom style="thin">
        <color rgb="FFB8CCE4"/>
      </bottom>
    </border>
    <border>
      <left style="thin">
        <color rgb="FFB8CCE4"/>
      </left>
      <right style="thin">
        <color rgb="FFB8CCE4"/>
      </right>
      <top style="medium">
        <color rgb="FF2F5496"/>
      </top>
      <bottom style="thin">
        <color rgb="FFB8CCE4"/>
      </bottom>
    </border>
    <border>
      <left style="thin">
        <color rgb="FFB8CCE4"/>
      </left>
      <right style="medium">
        <color rgb="FF2F5496"/>
      </right>
      <top style="medium">
        <color rgb="FF2F5496"/>
      </top>
      <bottom style="thin">
        <color rgb="FFB8CCE4"/>
      </bottom>
    </border>
    <border>
      <left style="medium">
        <color rgb="FF2F5496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B8CCE4"/>
      </left>
      <right style="medium">
        <color rgb="FF2F5496"/>
      </right>
      <top style="thin">
        <color rgb="FFB8CCE4"/>
      </top>
      <bottom style="thin">
        <color rgb="FFB8CCE4"/>
      </bottom>
    </border>
    <border>
      <left style="medium">
        <color rgb="FF2F5496"/>
      </left>
      <right style="thin">
        <color rgb="FFB8CCE4"/>
      </right>
      <top style="thin">
        <color rgb="FFB8CCE4"/>
      </top>
      <bottom style="medium">
        <color rgb="FF2F5496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2F5496"/>
      </bottom>
    </border>
    <border>
      <left style="thin">
        <color rgb="FFB8CCE4"/>
      </left>
      <right style="medium">
        <color rgb="FF2F5496"/>
      </right>
      <top style="thin">
        <color rgb="FFB8CCE4"/>
      </top>
      <bottom style="medium">
        <color rgb="FF2F5496"/>
      </bottom>
    </border>
    <border>
      <left style="medium">
        <color rgb="FF2F5496"/>
      </left>
      <top style="medium">
        <color rgb="FF2F5496"/>
      </top>
    </border>
    <border>
      <top style="medium">
        <color rgb="FF2F5496"/>
      </top>
    </border>
    <border>
      <right/>
      <top style="medium">
        <color rgb="FF2F5496"/>
      </top>
    </border>
    <border>
      <left style="medium">
        <color rgb="FF2F5496"/>
      </left>
    </border>
    <border>
      <right/>
    </border>
    <border>
      <left style="medium">
        <color rgb="FF2F5496"/>
      </left>
      <bottom/>
    </border>
    <border>
      <bottom/>
    </border>
    <border>
      <right/>
      <bottom/>
    </border>
    <border>
      <left/>
      <right/>
      <top/>
      <bottom/>
    </border>
    <border>
      <left style="medium">
        <color rgb="FF2F5496"/>
      </left>
      <right/>
      <top style="medium">
        <color rgb="FF2F5496"/>
      </top>
      <bottom/>
    </border>
    <border>
      <left style="thin">
        <color rgb="008DB4E2"/>
      </left>
      <right style="thin">
        <color rgb="008DB4E2"/>
      </right>
      <top style="thin">
        <color rgb="008DB4E2"/>
      </top>
      <bottom style="thin">
        <color rgb="008DB4E2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 wrapText="1"/>
    </xf>
    <xf numFmtId="0" fontId="7" fillId="7" borderId="7" applyAlignment="1" pivotButton="0" quotePrefix="0" xfId="0">
      <alignment horizontal="center" vertical="center"/>
    </xf>
    <xf numFmtId="1" fontId="8" fillId="8" borderId="8" applyAlignment="1" pivotButton="0" quotePrefix="0" xfId="0">
      <alignment horizontal="center" vertical="center"/>
    </xf>
    <xf numFmtId="164" fontId="7" fillId="7" borderId="8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3" fontId="8" fillId="8" borderId="8" applyAlignment="1" pivotButton="0" quotePrefix="0" xfId="0">
      <alignment horizontal="center" vertical="center"/>
    </xf>
    <xf numFmtId="2" fontId="8" fillId="8" borderId="8" applyAlignment="1" pivotButton="0" quotePrefix="0" xfId="0">
      <alignment horizontal="center" vertical="center"/>
    </xf>
    <xf numFmtId="2" fontId="8" fillId="8" borderId="9" applyAlignment="1" pivotButton="0" quotePrefix="0" xfId="0">
      <alignment horizontal="center" vertical="center"/>
    </xf>
    <xf numFmtId="165" fontId="7" fillId="7" borderId="8" applyAlignment="1" pivotButton="0" quotePrefix="0" xfId="0">
      <alignment horizontal="center" vertical="center"/>
    </xf>
    <xf numFmtId="166" fontId="7" fillId="7" borderId="8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1" fontId="8" fillId="8" borderId="11" applyAlignment="1" pivotButton="0" quotePrefix="0" xfId="0">
      <alignment horizontal="center" vertical="center"/>
    </xf>
    <xf numFmtId="167" fontId="7" fillId="7" borderId="11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3" fontId="8" fillId="8" borderId="11" applyAlignment="1" pivotButton="0" quotePrefix="0" xfId="0">
      <alignment horizontal="center" vertical="center"/>
    </xf>
    <xf numFmtId="2" fontId="8" fillId="8" borderId="11" applyAlignment="1" pivotButton="0" quotePrefix="0" xfId="0">
      <alignment horizontal="center" vertical="center"/>
    </xf>
    <xf numFmtId="164" fontId="7" fillId="7" borderId="11" applyAlignment="1" pivotButton="0" quotePrefix="0" xfId="0">
      <alignment horizontal="center" vertical="center"/>
    </xf>
    <xf numFmtId="2" fontId="8" fillId="8" borderId="12" applyAlignment="1" pivotButton="0" quotePrefix="0" xfId="0">
      <alignment horizontal="center" vertical="center"/>
    </xf>
    <xf numFmtId="0" fontId="9" fillId="9" borderId="13" applyAlignment="1" pivotButton="0" quotePrefix="0" xfId="0">
      <alignment vertical="top" wrapText="1"/>
    </xf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7" fillId="7" borderId="8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0" fontId="6" fillId="6" borderId="2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bottom"/>
    </xf>
    <xf numFmtId="164" fontId="10" fillId="0" borderId="0" applyAlignment="1" pivotButton="0" quotePrefix="0" xfId="0">
      <alignment horizontal="center" vertical="bottom"/>
    </xf>
    <xf numFmtId="3" fontId="10" fillId="0" borderId="0" applyAlignment="1" pivotButton="0" quotePrefix="0" xfId="0">
      <alignment horizontal="center" vertical="bottom"/>
    </xf>
    <xf numFmtId="2" fontId="10" fillId="0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66" fontId="10" fillId="0" borderId="0" applyAlignment="1" pivotButton="0" quotePrefix="0" xfId="0">
      <alignment horizontal="center" vertical="bottom"/>
    </xf>
    <xf numFmtId="167" fontId="1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1" fillId="2" borderId="21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1" applyAlignment="1" pivotButton="0" quotePrefix="0" xfId="0">
      <alignment horizontal="center" vertical="center" wrapText="1"/>
    </xf>
    <xf numFmtId="0" fontId="9" fillId="9" borderId="22" applyAlignment="1" pivotButton="0" quotePrefix="0" xfId="0">
      <alignment vertical="top" wrapText="1"/>
    </xf>
    <xf numFmtId="0" fontId="0" fillId="0" borderId="14" pivotButton="0" quotePrefix="0" xfId="0"/>
    <xf numFmtId="0" fontId="0" fillId="0" borderId="16" pivotButton="0" quotePrefix="0" xfId="0"/>
    <xf numFmtId="0" fontId="11" fillId="0" borderId="0" applyAlignment="1" pivotButton="0" quotePrefix="0" xfId="0">
      <alignment horizontal="left" vertical="center"/>
    </xf>
    <xf numFmtId="0" fontId="0" fillId="10" borderId="23" pivotButton="0" quotePrefix="0" xfId="0"/>
    <xf numFmtId="0" fontId="12" fillId="10" borderId="23" applyAlignment="1" pivotButton="0" quotePrefix="0" xfId="0">
      <alignment horizontal="center" vertical="center" wrapText="1"/>
    </xf>
    <xf numFmtId="0" fontId="13" fillId="11" borderId="23" applyAlignment="1" pivotButton="0" quotePrefix="0" xfId="0">
      <alignment horizontal="center" vertical="center" wrapText="1"/>
    </xf>
    <xf numFmtId="3" fontId="14" fillId="12" borderId="23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 wrapText="1"/>
    </xf>
    <xf numFmtId="0" fontId="13" fillId="14" borderId="2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Intentos por Segundo vs Nº Procesos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NI/s EN</v>
          </tx>
          <spPr>
            <a:ln xmlns:a="http://schemas.openxmlformats.org/drawingml/2006/main" w="3810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'Gráficas'!$A$4:$A$10</f>
              <numCache/>
            </numRef>
          </val>
          <smooth val="1"/>
        </ser>
        <ser>
          <idx val="1"/>
          <order val="1"/>
          <tx>
            <v>NI/s ABADIA</v>
          </tx>
          <spPr>
            <a:ln xmlns:a="http://schemas.openxmlformats.org/drawingml/2006/main" w="3810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'Gráficas'!$E$4:$E$10</f>
              <numCache/>
            </numRef>
          </val>
          <smooth val="1"/>
        </ser>
        <ser>
          <idx val="2"/>
          <order val="2"/>
          <tx>
            <v>NI/s PERGAMINO</v>
          </tx>
          <spPr>
            <a:ln xmlns:a="http://schemas.openxmlformats.org/drawingml/2006/main" w="38100" cmpd="sng">
              <a:solidFill>
                <a:srgbClr val="98B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'Gráficas'!$F$4:$F$10</f>
              <numCache/>
            </numRef>
          </val>
          <smooth val="1"/>
        </ser>
        <ser>
          <idx val="3"/>
          <order val="3"/>
          <tx>
            <strRef>
              <f>'Gráficas'!$G$3</f>
            </strRef>
          </tx>
          <spPr>
            <a:ln xmlns:a="http://schemas.openxmlformats.org/drawingml/2006/main" cmpd="sng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'Gráficas'!$G$4:$G$10</f>
              <numCache/>
            </numRef>
          </val>
          <smooth val="1"/>
        </ser>
        <axId val="1035076330"/>
        <axId val="1253966528"/>
      </lineChart>
      <catAx>
        <axId val="103507633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Nº Procesos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253966528"/>
        <lblOffset val="100"/>
      </catAx>
      <valAx>
        <axId val="125396652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NI/s (intentos/s)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35076330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Tiempo de Ejecución vs Nº Procesos  (variable por aleatoriedad)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T EN (s)</v>
          </tx>
          <spPr>
            <a:ln xmlns:a="http://schemas.openxmlformats.org/drawingml/2006/main" w="3810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'Gráficas'!$A$4:$A$10</f>
            </strRef>
          </cat>
          <val>
            <numRef>
              <f>'Gráficas'!$B$4:$B$10</f>
              <numCache/>
            </numRef>
          </val>
          <smooth val="1"/>
        </ser>
        <ser>
          <idx val="1"/>
          <order val="1"/>
          <tx>
            <v>T ABADIA (s)</v>
          </tx>
          <spPr>
            <a:ln xmlns:a="http://schemas.openxmlformats.org/drawingml/2006/main" w="3810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'Gráficas'!$A$4:$A$10</f>
            </strRef>
          </cat>
          <val>
            <numRef>
              <f>'Gráficas'!$C$4:$C$10</f>
              <numCache/>
            </numRef>
          </val>
          <smooth val="1"/>
        </ser>
        <ser>
          <idx val="2"/>
          <order val="2"/>
          <tx>
            <v>T PERGAMINO (s)</v>
          </tx>
          <spPr>
            <a:ln xmlns:a="http://schemas.openxmlformats.org/drawingml/2006/main" w="38100" cmpd="sng">
              <a:solidFill>
                <a:srgbClr val="98B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'Gráficas'!$A$4:$A$10</f>
            </strRef>
          </cat>
          <val>
            <numRef>
              <f>'Gráficas'!$D$4:$D$10</f>
              <numCache/>
            </numRef>
          </val>
          <smooth val="1"/>
        </ser>
        <axId val="1947034913"/>
        <axId val="590680688"/>
      </lineChart>
      <catAx>
        <axId val="1947034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Nº Procesos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90680688"/>
        <lblOffset val="100"/>
      </catAx>
      <valAx>
        <axId val="59068068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47034913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Speedup (basado en NI/s) vs Nº Procesos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SP EN</v>
          </tx>
          <spPr>
            <a:ln xmlns:a="http://schemas.openxmlformats.org/drawingml/2006/main" w="3810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'Gráficas'!$A$4:$A$10</f>
            </strRef>
          </cat>
          <val>
            <numRef>
              <f>'Gráficas'!$H$4:$H$10</f>
              <numCache/>
            </numRef>
          </val>
          <smooth val="1"/>
        </ser>
        <ser>
          <idx val="1"/>
          <order val="1"/>
          <tx>
            <v>SP ABADIA</v>
          </tx>
          <spPr>
            <a:ln xmlns:a="http://schemas.openxmlformats.org/drawingml/2006/main" w="3810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'Gráficas'!$A$4:$A$10</f>
            </strRef>
          </cat>
          <val>
            <numRef>
              <f>'Gráficas'!$I$4:$I$10</f>
              <numCache/>
            </numRef>
          </val>
          <smooth val="1"/>
        </ser>
        <ser>
          <idx val="2"/>
          <order val="2"/>
          <tx>
            <v>SP PERGAMINO</v>
          </tx>
          <spPr>
            <a:ln xmlns:a="http://schemas.openxmlformats.org/drawingml/2006/main" w="38100" cmpd="sng">
              <a:solidFill>
                <a:srgbClr val="98B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'Gráficas'!$A$4:$A$10</f>
            </strRef>
          </cat>
          <val>
            <numRef>
              <f>'Gráficas'!$J$4:$J$10</f>
              <numCache/>
            </numRef>
          </val>
          <smooth val="1"/>
        </ser>
        <axId val="992125639"/>
        <axId val="85176924"/>
      </lineChart>
      <catAx>
        <axId val="99212563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Nº Procesos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176924"/>
        <lblOffset val="100"/>
      </catAx>
      <valAx>
        <axId val="851769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Speedup NI/s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9212563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515100" cy="49053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10</col>
      <colOff>0</colOff>
      <row>13</row>
      <rowOff>0</rowOff>
    </from>
    <ext cx="6496050" cy="49053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0</colOff>
      <row>42</row>
      <rowOff>0</rowOff>
    </from>
    <ext cx="6515100" cy="490537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8" min="1" max="1"/>
    <col width="9" customWidth="1" style="48" min="2" max="2"/>
    <col width="11" customWidth="1" style="48" min="3" max="3"/>
    <col width="16" customWidth="1" style="48" min="4" max="4"/>
    <col width="14" customWidth="1" style="48" min="5" max="5"/>
    <col width="9" customWidth="1" style="48" min="6" max="6"/>
    <col width="11" customWidth="1" style="48" min="7" max="7"/>
    <col width="16" customWidth="1" style="48" min="8" max="8"/>
    <col width="14" customWidth="1" style="48" min="9" max="9"/>
    <col width="9" customWidth="1" style="48" min="10" max="10"/>
    <col width="11" customWidth="1" style="48" min="11" max="11"/>
    <col width="16" customWidth="1" style="48" min="12" max="12"/>
    <col width="14" customWidth="1" style="48" min="13" max="13"/>
    <col width="9" customWidth="1" style="48" min="14" max="14"/>
    <col width="8.710000000000001" customWidth="1" style="48" min="15" max="26"/>
  </cols>
  <sheetData>
    <row r="1" ht="27.75" customHeight="1" s="48">
      <c r="A1" s="49" t="inlineStr">
        <is>
          <t>PRÁCTICA MPI — Mediciones de Rendimiento — UNA MÁQUINA</t>
        </is>
      </c>
    </row>
    <row r="2" ht="13.5" customHeight="1" s="48">
      <c r="A2" s="4" t="inlineStr">
        <is>
          <t>Rellena las celdas AZULES con los valores que imprime el programa. Las celdas BLANCAS se calculan solas.  NI/s = Intentos por segundo  |  SP = Speedup basado en NI/s</t>
        </is>
      </c>
    </row>
    <row r="3" ht="13.5" customHeight="1" s="48">
      <c r="A3" s="5" t="inlineStr">
        <is>
          <t>🔵 Celda azul = dato que introduces tú   |   ⬜ Celda blanca = calculada automáticamente</t>
        </is>
      </c>
    </row>
    <row r="5" ht="18" customHeight="1" s="48">
      <c r="A5" s="50" t="n"/>
      <c r="C5" s="51" t="inlineStr">
        <is>
          <t>Pista: EN</t>
        </is>
      </c>
      <c r="G5" s="52" t="inlineStr">
        <is>
          <t>Pista: ABADIA</t>
        </is>
      </c>
      <c r="K5" s="53" t="inlineStr">
        <is>
          <t>Pista: PERGAMINO</t>
        </is>
      </c>
    </row>
    <row r="6" ht="31.5" customHeight="1" s="48">
      <c r="A6" s="10" t="inlineStr">
        <is>
          <t>Nº
Procs</t>
        </is>
      </c>
      <c r="B6" s="11" t="inlineStr">
        <is>
          <t>Nº
Busc.</t>
        </is>
      </c>
      <c r="C6" s="11" t="inlineStr">
        <is>
          <t>Tiempo
(s)</t>
        </is>
      </c>
      <c r="D6" s="11" t="inlineStr">
        <is>
          <t>NI
(intentos)</t>
        </is>
      </c>
      <c r="E6" s="11" t="inlineStr">
        <is>
          <t>NI/s
(intentos/s)</t>
        </is>
      </c>
      <c r="F6" s="11" t="inlineStr">
        <is>
          <t>Speedup
NI/s</t>
        </is>
      </c>
      <c r="G6" s="11" t="inlineStr">
        <is>
          <t>Tiempo
(s)</t>
        </is>
      </c>
      <c r="H6" s="11" t="inlineStr">
        <is>
          <t>NI
(intentos)</t>
        </is>
      </c>
      <c r="I6" s="11" t="inlineStr">
        <is>
          <t>NI/s
(intentos/s)</t>
        </is>
      </c>
      <c r="J6" s="11" t="inlineStr">
        <is>
          <t>Speedup
NI/s</t>
        </is>
      </c>
      <c r="K6" s="11" t="inlineStr">
        <is>
          <t>Tiempo
(s)</t>
        </is>
      </c>
      <c r="L6" s="11" t="inlineStr">
        <is>
          <t>NI
(intentos)</t>
        </is>
      </c>
      <c r="M6" s="11" t="inlineStr">
        <is>
          <t>NI/s
(intentos/s)</t>
        </is>
      </c>
      <c r="N6" s="12" t="inlineStr">
        <is>
          <t>Speedup
NI/s</t>
        </is>
      </c>
    </row>
    <row r="7" ht="18" customHeight="1" s="48">
      <c r="A7" s="13" t="n">
        <v>2</v>
      </c>
      <c r="B7" s="14">
        <f>A7-1</f>
        <v/>
      </c>
      <c r="C7" s="15" t="n">
        <v>219.608687</v>
      </c>
      <c r="D7" s="38" t="n">
        <v>103872728</v>
      </c>
      <c r="E7" s="17">
        <f>IFERROR(D7/C7,"")</f>
        <v/>
      </c>
      <c r="F7" s="18">
        <f>IFERROR(E7/E7,"")</f>
        <v/>
      </c>
      <c r="G7" s="38" t="n">
        <v>218.577569</v>
      </c>
      <c r="H7" s="38" t="n">
        <v>103872728</v>
      </c>
      <c r="I7" s="17">
        <f>IFERROR(H7/G7,"")</f>
        <v/>
      </c>
      <c r="J7" s="18">
        <f>IFERROR(I7/E7,"")</f>
        <v/>
      </c>
      <c r="K7" s="38" t="n">
        <v>199.100247</v>
      </c>
      <c r="L7" s="38" t="n">
        <v>103872728</v>
      </c>
      <c r="M7" s="17">
        <f>IFERROR(L7/K7,"")</f>
        <v/>
      </c>
      <c r="N7" s="19">
        <f>IFERROR(M7/E7,"")</f>
        <v/>
      </c>
    </row>
    <row r="8" ht="18" customHeight="1" s="48">
      <c r="A8" s="13" t="n">
        <v>3</v>
      </c>
      <c r="B8" s="14">
        <f>A8-1</f>
        <v/>
      </c>
      <c r="C8" s="15" t="n">
        <v>241.275455</v>
      </c>
      <c r="D8" s="38" t="n">
        <v>207171259</v>
      </c>
      <c r="E8" s="17">
        <f>IFERROR(D8/C8,"")</f>
        <v/>
      </c>
      <c r="F8" s="18">
        <f>IFERROR(E8/E7,"")</f>
        <v/>
      </c>
      <c r="G8" s="38" t="n">
        <v>217.506933</v>
      </c>
      <c r="H8" s="38" t="n">
        <v>208142474</v>
      </c>
      <c r="I8" s="17">
        <f>IFERROR(H8/G8,"")</f>
        <v/>
      </c>
      <c r="J8" s="18">
        <f>IFERROR(I8/E7,"")</f>
        <v/>
      </c>
      <c r="K8" s="38" t="n">
        <v>213.557093</v>
      </c>
      <c r="L8" s="38" t="n">
        <v>207879345</v>
      </c>
      <c r="M8" s="17">
        <f>IFERROR(L8/K8,"")</f>
        <v/>
      </c>
      <c r="N8" s="19">
        <f>IFERROR(M8/E7,"")</f>
        <v/>
      </c>
    </row>
    <row r="9" ht="18" customHeight="1" s="48">
      <c r="A9" s="13" t="n">
        <v>5</v>
      </c>
      <c r="B9" s="14">
        <f>A9-1</f>
        <v/>
      </c>
      <c r="C9" s="20" t="n">
        <v>71.655579</v>
      </c>
      <c r="D9" s="38" t="n">
        <v>84540816</v>
      </c>
      <c r="E9" s="17">
        <f>IFERROR(D9/C9,"")</f>
        <v/>
      </c>
      <c r="F9" s="18">
        <f>IFERROR(E9/E7,"")</f>
        <v/>
      </c>
      <c r="G9" s="38" t="n">
        <v>78.804294</v>
      </c>
      <c r="H9" s="38" t="n">
        <v>112297721</v>
      </c>
      <c r="I9" s="17">
        <f>IFERROR(H9/G9,"")</f>
        <v/>
      </c>
      <c r="J9" s="18">
        <f>IFERROR(I9/E7,"")</f>
        <v/>
      </c>
      <c r="K9" s="21" t="n">
        <v>50.003056</v>
      </c>
      <c r="L9" s="38" t="n">
        <v>77553098</v>
      </c>
      <c r="M9" s="17">
        <f>IFERROR(L9/K9,"")</f>
        <v/>
      </c>
      <c r="N9" s="19">
        <f>IFERROR(M9/E7,"")</f>
        <v/>
      </c>
    </row>
    <row r="10" ht="18" customHeight="1" s="48">
      <c r="A10" s="13" t="n">
        <v>9</v>
      </c>
      <c r="B10" s="14">
        <f>A10-1</f>
        <v/>
      </c>
      <c r="C10" s="38" t="n">
        <v>136.347934</v>
      </c>
      <c r="D10" s="38" t="n">
        <v>169794604</v>
      </c>
      <c r="E10" s="17">
        <f>IFERROR(D10/C10,"")</f>
        <v/>
      </c>
      <c r="F10" s="18">
        <f>IFERROR(E10/E7,"")</f>
        <v/>
      </c>
      <c r="G10" s="15" t="n">
        <v>94.06372</v>
      </c>
      <c r="H10" s="38" t="n">
        <v>155526120</v>
      </c>
      <c r="I10" s="17">
        <f>IFERROR(H10/G10,"")</f>
        <v/>
      </c>
      <c r="J10" s="18">
        <f>IFERROR(I10/E7,"")</f>
        <v/>
      </c>
      <c r="K10" s="21" t="n">
        <v>89.575975</v>
      </c>
      <c r="L10" s="38" t="n">
        <v>161170871</v>
      </c>
      <c r="M10" s="17">
        <f>IFERROR(L10/K10,"")</f>
        <v/>
      </c>
      <c r="N10" s="19">
        <f>IFERROR(M10/E7,"")</f>
        <v/>
      </c>
    </row>
    <row r="11" ht="18" customHeight="1" s="48">
      <c r="A11" s="13" t="n">
        <v>17</v>
      </c>
      <c r="B11" s="14">
        <f>A11-1</f>
        <v/>
      </c>
      <c r="C11" s="38" t="n">
        <v>297.532279</v>
      </c>
      <c r="D11" s="38" t="n">
        <v>318742257</v>
      </c>
      <c r="E11" s="17">
        <f>IFERROR(D11/C11,"")</f>
        <v/>
      </c>
      <c r="F11" s="18">
        <f>IFERROR(E11/E7,"")</f>
        <v/>
      </c>
      <c r="G11" s="38" t="n">
        <v>176.44546</v>
      </c>
      <c r="H11" s="38" t="n">
        <v>326184422</v>
      </c>
      <c r="I11" s="17">
        <f>IFERROR(H11/G11,"")</f>
        <v/>
      </c>
      <c r="J11" s="18">
        <f>IFERROR(I11/E7,"")</f>
        <v/>
      </c>
      <c r="K11" s="15" t="n">
        <v>175.912262</v>
      </c>
      <c r="L11" s="38" t="n">
        <v>325713558</v>
      </c>
      <c r="M11" s="17">
        <f>IFERROR(L11/K11,"")</f>
        <v/>
      </c>
      <c r="N11" s="19">
        <f>IFERROR(M11/E7,"")</f>
        <v/>
      </c>
    </row>
    <row r="12" ht="18" customHeight="1" s="48">
      <c r="A12" s="13" t="n">
        <v>33</v>
      </c>
      <c r="B12" s="14">
        <f>A12-1</f>
        <v/>
      </c>
      <c r="C12" s="15" t="n">
        <v>279.132625</v>
      </c>
      <c r="D12" s="38" t="n">
        <v>331055021</v>
      </c>
      <c r="E12" s="17">
        <f>IFERROR(D12/C12,"")</f>
        <v/>
      </c>
      <c r="F12" s="18">
        <f>IFERROR(E12/E7,"")</f>
        <v/>
      </c>
      <c r="G12" s="38" t="n">
        <v>182.972583</v>
      </c>
      <c r="H12" s="38" t="n">
        <v>332134890</v>
      </c>
      <c r="I12" s="17">
        <f>IFERROR(H12/G12,"")</f>
        <v/>
      </c>
      <c r="J12" s="18">
        <f>IFERROR(I12/E7,"")</f>
        <v/>
      </c>
      <c r="K12" s="38" t="n">
        <v>211.280298</v>
      </c>
      <c r="L12" s="38" t="n">
        <v>392068296</v>
      </c>
      <c r="M12" s="17">
        <f>IFERROR(L12/K12,"")</f>
        <v/>
      </c>
      <c r="N12" s="19">
        <f>IFERROR(M12/E7,"")</f>
        <v/>
      </c>
    </row>
    <row r="13" ht="18" customHeight="1" s="48">
      <c r="A13" s="22" t="n">
        <v>65</v>
      </c>
      <c r="B13" s="23">
        <f>A13-1</f>
        <v/>
      </c>
      <c r="C13" s="24" t="n">
        <v>152.15</v>
      </c>
      <c r="D13" s="39" t="n">
        <v>160557979</v>
      </c>
      <c r="E13" s="26">
        <f>IFERROR(D13/C13,"")</f>
        <v/>
      </c>
      <c r="F13" s="27">
        <f>IFERROR(E13/E7,"")</f>
        <v/>
      </c>
      <c r="G13" s="39" t="n">
        <v>74.989243</v>
      </c>
      <c r="H13" s="39" t="n">
        <v>137552920</v>
      </c>
      <c r="I13" s="26">
        <f>IFERROR(H13/G13,"")</f>
        <v/>
      </c>
      <c r="J13" s="27">
        <f>IFERROR(I13/E7,"")</f>
        <v/>
      </c>
      <c r="K13" s="28" t="n">
        <v>109.169969</v>
      </c>
      <c r="L13" s="39" t="n">
        <v>179980139</v>
      </c>
      <c r="M13" s="26">
        <f>IFERROR(L13/K13,"")</f>
        <v/>
      </c>
      <c r="N13" s="29">
        <f>IFERROR(M13/E7,"")</f>
        <v/>
      </c>
    </row>
    <row r="15" ht="13.5" customHeight="1" s="48">
      <c r="A15" s="54" t="inlineStr">
        <is>
          <t>CÓMO RELLENAR:
• Tiempo (s): el valor 'Tiempo total (proceso 0)' que imprime el programa al final.
• NI: el valor 'Intentos totales (todos buscadores)' de la sección TOTALES.
• El Speedup usa como referencia los NI/s de 1 proceso con pista EN (fila 1, columna E).
  → El tiempo NO es fiable para el speedup porque depende de la aleatoriedad de la búsqueda.
  → Los NI/s SÍ escalan linealmente: con 2 buscadores deberían ser ~el doble que con 1.</t>
        </is>
      </c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</row>
    <row r="16" ht="13.5" customHeight="1" s="48">
      <c r="A16" s="56" t="n"/>
    </row>
    <row r="17" ht="13.5" customHeight="1" s="48">
      <c r="A17" s="56" t="n"/>
    </row>
    <row r="18" ht="13.5" customHeight="1" s="48">
      <c r="A18" s="56" t="n"/>
    </row>
    <row r="19" ht="13.5" customHeight="1" s="48">
      <c r="A19" s="56" t="n"/>
    </row>
    <row r="20" ht="13.5" customHeight="1" s="48">
      <c r="A20" s="56" t="n"/>
    </row>
    <row r="21" ht="15.75" customHeight="1" s="48"/>
    <row r="22" ht="15.75" customHeight="1" s="48">
      <c r="A22" s="57" t="inlineStr">
        <is>
          <t>Aciertos PISTA en mensaje descifrado (Consultas a proceso de E/S)</t>
        </is>
      </c>
    </row>
    <row r="23" ht="15.75" customHeight="1" s="48">
      <c r="A23" s="58" t="n"/>
      <c r="B23" s="59" t="n">
        <v>1</v>
      </c>
      <c r="C23" s="59" t="n">
        <v>2</v>
      </c>
      <c r="D23" s="59" t="n">
        <v>4</v>
      </c>
      <c r="E23" s="59" t="n">
        <v>8</v>
      </c>
      <c r="F23" s="59" t="n">
        <v>16</v>
      </c>
      <c r="G23" s="59" t="n">
        <v>32</v>
      </c>
      <c r="H23" s="59" t="n">
        <v>64</v>
      </c>
    </row>
    <row r="24" ht="15.75" customHeight="1" s="48">
      <c r="A24" s="60" t="inlineStr">
        <is>
          <t>EN</t>
        </is>
      </c>
      <c r="B24" s="61" t="n">
        <v>20299467</v>
      </c>
      <c r="C24" s="61" t="n">
        <v>40489088</v>
      </c>
      <c r="D24" s="61" t="n">
        <v>16520385</v>
      </c>
      <c r="E24" s="61" t="n">
        <v>33174905</v>
      </c>
      <c r="F24" s="61" t="n">
        <v>62276720</v>
      </c>
      <c r="G24" s="61" t="n">
        <v>64684128</v>
      </c>
      <c r="H24" s="61" t="n">
        <v>31370883</v>
      </c>
    </row>
    <row r="25" ht="15.75" customHeight="1" s="48">
      <c r="A25" s="62" t="inlineStr">
        <is>
          <t>ABADIA</t>
        </is>
      </c>
      <c r="B25" s="61" t="n">
        <v>12</v>
      </c>
      <c r="C25" s="61" t="n">
        <v>24</v>
      </c>
      <c r="D25" s="61" t="n">
        <v>16</v>
      </c>
      <c r="E25" s="61" t="n">
        <v>20</v>
      </c>
      <c r="F25" s="61" t="n">
        <v>33</v>
      </c>
      <c r="G25" s="61" t="n">
        <v>34</v>
      </c>
      <c r="H25" s="61" t="n">
        <v>21</v>
      </c>
    </row>
    <row r="26" ht="15.75" customHeight="1" s="48">
      <c r="A26" s="63" t="inlineStr">
        <is>
          <t>PERGAMINO</t>
        </is>
      </c>
      <c r="B26" s="61" t="n">
        <v>1</v>
      </c>
      <c r="C26" s="61" t="n">
        <v>1</v>
      </c>
      <c r="D26" s="61" t="n">
        <v>1</v>
      </c>
      <c r="E26" s="61" t="n">
        <v>1</v>
      </c>
      <c r="F26" s="61" t="n">
        <v>1</v>
      </c>
      <c r="G26" s="61" t="n">
        <v>1</v>
      </c>
      <c r="H26" s="61" t="n">
        <v>1</v>
      </c>
    </row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9">
    <mergeCell ref="A2:N2"/>
    <mergeCell ref="A3:D3"/>
    <mergeCell ref="A15:N20"/>
    <mergeCell ref="A5:B5"/>
    <mergeCell ref="C5:F5"/>
    <mergeCell ref="G5:J5"/>
    <mergeCell ref="K5:N5"/>
    <mergeCell ref="A22:H22"/>
    <mergeCell ref="A1:N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8" min="1" max="1"/>
    <col width="9" customWidth="1" style="48" min="2" max="2"/>
    <col width="11" customWidth="1" style="48" min="3" max="3"/>
    <col width="16" customWidth="1" style="48" min="4" max="4"/>
    <col width="14" customWidth="1" style="48" min="5" max="5"/>
    <col width="9" customWidth="1" style="48" min="6" max="6"/>
    <col width="11" customWidth="1" style="48" min="7" max="7"/>
    <col width="16" customWidth="1" style="48" min="8" max="8"/>
    <col width="14" customWidth="1" style="48" min="9" max="9"/>
    <col width="9" customWidth="1" style="48" min="10" max="10"/>
    <col width="11" customWidth="1" style="48" min="11" max="11"/>
    <col width="16" customWidth="1" style="48" min="12" max="12"/>
    <col width="14" customWidth="1" style="48" min="13" max="13"/>
    <col width="9" customWidth="1" style="48" min="14" max="14"/>
    <col width="8.710000000000001" customWidth="1" style="48" min="15" max="26"/>
  </cols>
  <sheetData>
    <row r="1" ht="27.75" customHeight="1" s="48">
      <c r="A1" s="49" t="inlineStr">
        <is>
          <t>PRÁCTICA MPI — Mediciones de Rendimiento — VARIAS MÁQUINAS EN RED</t>
        </is>
      </c>
    </row>
    <row r="2" ht="13.5" customHeight="1" s="48">
      <c r="A2" s="4" t="inlineStr">
        <is>
          <t>Rellena las celdas AZULES con los valores que imprime el programa. Las celdas BLANCAS se calculan solas.  NI/s = Intentos por segundo  |  SP = Speedup basado en NI/s</t>
        </is>
      </c>
    </row>
    <row r="3" ht="13.5" customHeight="1" s="48">
      <c r="A3" s="5" t="inlineStr">
        <is>
          <t>🔵 Celda azul = dato que introduces tú   |   ⬜ Celda blanca = calculada automáticamente</t>
        </is>
      </c>
    </row>
    <row r="5" ht="18" customHeight="1" s="48">
      <c r="A5" s="50" t="n"/>
      <c r="C5" s="51" t="inlineStr">
        <is>
          <t>Pista: EN</t>
        </is>
      </c>
      <c r="G5" s="52" t="inlineStr">
        <is>
          <t>Pista: ABADIA</t>
        </is>
      </c>
      <c r="K5" s="53" t="inlineStr">
        <is>
          <t>Pista: PERGAMINO</t>
        </is>
      </c>
    </row>
    <row r="6" ht="31.5" customHeight="1" s="48">
      <c r="A6" s="10" t="inlineStr">
        <is>
          <t>Nº
Procs</t>
        </is>
      </c>
      <c r="B6" s="11" t="inlineStr">
        <is>
          <t>Nº
Busc.</t>
        </is>
      </c>
      <c r="C6" s="11" t="inlineStr">
        <is>
          <t>Tiempo
(s)</t>
        </is>
      </c>
      <c r="D6" s="11" t="inlineStr">
        <is>
          <t>NI
(intentos)</t>
        </is>
      </c>
      <c r="E6" s="11" t="inlineStr">
        <is>
          <t>NI/s
(intentos/s)</t>
        </is>
      </c>
      <c r="F6" s="11" t="inlineStr">
        <is>
          <t>Speedup
NI/s</t>
        </is>
      </c>
      <c r="G6" s="11" t="inlineStr">
        <is>
          <t>Tiempo
(s)</t>
        </is>
      </c>
      <c r="H6" s="11" t="inlineStr">
        <is>
          <t>NI
(intentos)</t>
        </is>
      </c>
      <c r="I6" s="11" t="inlineStr">
        <is>
          <t>NI/s
(intentos/s)</t>
        </is>
      </c>
      <c r="J6" s="11" t="inlineStr">
        <is>
          <t>Speedup
NI/s</t>
        </is>
      </c>
      <c r="K6" s="11" t="inlineStr">
        <is>
          <t>Tiempo
(s)</t>
        </is>
      </c>
      <c r="L6" s="11" t="inlineStr">
        <is>
          <t>NI
(intentos)</t>
        </is>
      </c>
      <c r="M6" s="11" t="inlineStr">
        <is>
          <t>NI/s
(intentos/s)</t>
        </is>
      </c>
      <c r="N6" s="12" t="inlineStr">
        <is>
          <t>Speedup
NI/s</t>
        </is>
      </c>
    </row>
    <row r="7" ht="18" customHeight="1" s="48">
      <c r="A7" s="13" t="n">
        <v>2</v>
      </c>
      <c r="B7" s="14">
        <f>A7-1</f>
        <v/>
      </c>
      <c r="C7" s="38" t="n"/>
      <c r="D7" s="38" t="n"/>
      <c r="E7" s="17">
        <f>IFERROR(D7/C7,"")</f>
        <v/>
      </c>
      <c r="F7" s="18">
        <f>IFERROR(E7/E7,"")</f>
        <v/>
      </c>
      <c r="G7" s="38" t="n"/>
      <c r="H7" s="38" t="n"/>
      <c r="I7" s="17">
        <f>IFERROR(H7/G7,"")</f>
        <v/>
      </c>
      <c r="J7" s="18">
        <f>IFERROR(I7/E7,"")</f>
        <v/>
      </c>
      <c r="K7" s="38" t="n"/>
      <c r="L7" s="38" t="n"/>
      <c r="M7" s="17">
        <f>IFERROR(L7/K7,"")</f>
        <v/>
      </c>
      <c r="N7" s="19">
        <f>IFERROR(M7/E7,"")</f>
        <v/>
      </c>
    </row>
    <row r="8" ht="18" customHeight="1" s="48">
      <c r="A8" s="13" t="n">
        <v>3</v>
      </c>
      <c r="B8" s="14">
        <f>A8-1</f>
        <v/>
      </c>
      <c r="C8" s="38" t="n"/>
      <c r="D8" s="38" t="n"/>
      <c r="E8" s="17">
        <f>IFERROR(D8/C8,"")</f>
        <v/>
      </c>
      <c r="F8" s="18">
        <f>IFERROR(E8/E7,"")</f>
        <v/>
      </c>
      <c r="G8" s="38" t="n"/>
      <c r="H8" s="38" t="n"/>
      <c r="I8" s="17">
        <f>IFERROR(H8/G8,"")</f>
        <v/>
      </c>
      <c r="J8" s="18">
        <f>IFERROR(I8/E7,"")</f>
        <v/>
      </c>
      <c r="K8" s="38" t="n"/>
      <c r="L8" s="38" t="n"/>
      <c r="M8" s="17">
        <f>IFERROR(L8/K8,"")</f>
        <v/>
      </c>
      <c r="N8" s="19">
        <f>IFERROR(M8/E7,"")</f>
        <v/>
      </c>
    </row>
    <row r="9" ht="18" customHeight="1" s="48">
      <c r="A9" s="13" t="n">
        <v>5</v>
      </c>
      <c r="B9" s="14">
        <f>A9-1</f>
        <v/>
      </c>
      <c r="C9" s="38" t="n"/>
      <c r="D9" s="38" t="n"/>
      <c r="E9" s="17">
        <f>IFERROR(D9/C9,"")</f>
        <v/>
      </c>
      <c r="F9" s="18">
        <f>IFERROR(E9/E7,"")</f>
        <v/>
      </c>
      <c r="G9" s="38" t="n"/>
      <c r="H9" s="38" t="n"/>
      <c r="I9" s="17">
        <f>IFERROR(H9/G9,"")</f>
        <v/>
      </c>
      <c r="J9" s="18">
        <f>IFERROR(I9/E7,"")</f>
        <v/>
      </c>
      <c r="K9" s="38" t="n"/>
      <c r="L9" s="38" t="n"/>
      <c r="M9" s="17">
        <f>IFERROR(L9/K9,"")</f>
        <v/>
      </c>
      <c r="N9" s="19">
        <f>IFERROR(M9/E7,"")</f>
        <v/>
      </c>
    </row>
    <row r="10" ht="18" customHeight="1" s="48">
      <c r="A10" s="13" t="n">
        <v>9</v>
      </c>
      <c r="B10" s="14">
        <f>A10-1</f>
        <v/>
      </c>
      <c r="C10" s="38" t="n"/>
      <c r="D10" s="38" t="n"/>
      <c r="E10" s="17">
        <f>IFERROR(D10/C10,"")</f>
        <v/>
      </c>
      <c r="F10" s="18">
        <f>IFERROR(E10/E7,"")</f>
        <v/>
      </c>
      <c r="G10" s="38" t="n"/>
      <c r="H10" s="38" t="n"/>
      <c r="I10" s="17">
        <f>IFERROR(H10/G10,"")</f>
        <v/>
      </c>
      <c r="J10" s="18">
        <f>IFERROR(I10/E7,"")</f>
        <v/>
      </c>
      <c r="K10" s="38" t="n"/>
      <c r="L10" s="38" t="n"/>
      <c r="M10" s="17">
        <f>IFERROR(L10/K10,"")</f>
        <v/>
      </c>
      <c r="N10" s="19">
        <f>IFERROR(M10/E7,"")</f>
        <v/>
      </c>
    </row>
    <row r="11" ht="18" customHeight="1" s="48">
      <c r="A11" s="13" t="n">
        <v>17</v>
      </c>
      <c r="B11" s="14">
        <f>A11-1</f>
        <v/>
      </c>
      <c r="C11" s="38" t="n"/>
      <c r="D11" s="38" t="n"/>
      <c r="E11" s="17">
        <f>IFERROR(D11/C11,"")</f>
        <v/>
      </c>
      <c r="F11" s="18">
        <f>IFERROR(E11/E7,"")</f>
        <v/>
      </c>
      <c r="G11" s="38" t="n"/>
      <c r="H11" s="38" t="n"/>
      <c r="I11" s="17">
        <f>IFERROR(H11/G11,"")</f>
        <v/>
      </c>
      <c r="J11" s="18">
        <f>IFERROR(I11/E7,"")</f>
        <v/>
      </c>
      <c r="K11" s="38" t="n"/>
      <c r="L11" s="38" t="n"/>
      <c r="M11" s="17">
        <f>IFERROR(L11/K11,"")</f>
        <v/>
      </c>
      <c r="N11" s="19">
        <f>IFERROR(M11/E7,"")</f>
        <v/>
      </c>
    </row>
    <row r="12" ht="18" customHeight="1" s="48">
      <c r="A12" s="13" t="n">
        <v>33</v>
      </c>
      <c r="B12" s="14">
        <f>A12-1</f>
        <v/>
      </c>
      <c r="C12" s="38" t="n"/>
      <c r="D12" s="38" t="n"/>
      <c r="E12" s="17">
        <f>IFERROR(D12/C12,"")</f>
        <v/>
      </c>
      <c r="F12" s="18">
        <f>IFERROR(E12/E7,"")</f>
        <v/>
      </c>
      <c r="G12" s="38" t="n"/>
      <c r="H12" s="38" t="n"/>
      <c r="I12" s="17">
        <f>IFERROR(H12/G12,"")</f>
        <v/>
      </c>
      <c r="J12" s="18">
        <f>IFERROR(I12/E7,"")</f>
        <v/>
      </c>
      <c r="K12" s="38" t="n"/>
      <c r="L12" s="38" t="n"/>
      <c r="M12" s="17">
        <f>IFERROR(L12/K12,"")</f>
        <v/>
      </c>
      <c r="N12" s="19">
        <f>IFERROR(M12/E7,"")</f>
        <v/>
      </c>
    </row>
    <row r="13" ht="18" customHeight="1" s="48">
      <c r="A13" s="22" t="n">
        <v>65</v>
      </c>
      <c r="B13" s="23">
        <f>A13-1</f>
        <v/>
      </c>
      <c r="C13" s="39" t="n"/>
      <c r="D13" s="39" t="n"/>
      <c r="E13" s="26">
        <f>IFERROR(D13/C13,"")</f>
        <v/>
      </c>
      <c r="F13" s="27">
        <f>IFERROR(E13/E7,"")</f>
        <v/>
      </c>
      <c r="G13" s="39" t="n"/>
      <c r="H13" s="39" t="n"/>
      <c r="I13" s="26">
        <f>IFERROR(H13/G13,"")</f>
        <v/>
      </c>
      <c r="J13" s="27">
        <f>IFERROR(I13/E7,"")</f>
        <v/>
      </c>
      <c r="K13" s="39" t="n"/>
      <c r="L13" s="39" t="n"/>
      <c r="M13" s="26">
        <f>IFERROR(L13/K13,"")</f>
        <v/>
      </c>
      <c r="N13" s="29">
        <f>IFERROR(M13/E7,"")</f>
        <v/>
      </c>
    </row>
    <row r="15" ht="13.5" customHeight="1" s="48">
      <c r="A15" s="54" t="inlineStr">
        <is>
          <t>CÓMO RELLENAR:
• Tiempo (s): el valor 'Tiempo total (proceso 0)' que imprime el programa al final.
• NI: el valor 'Intentos totales (todos buscadores)' de la sección TOTALES.
• El Speedup usa como referencia los NI/s de 1 proceso con pista EN (fila 1, columna E).
  → El tiempo NO es fiable para el speedup porque depende de la aleatoriedad de la búsqueda.
  → Los NI/s SÍ escalan linealmente: con 2 buscadores deberían ser ~el doble que con 1.</t>
        </is>
      </c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</row>
    <row r="16" ht="13.5" customHeight="1" s="48">
      <c r="A16" s="56" t="n"/>
    </row>
    <row r="17" ht="13.5" customHeight="1" s="48">
      <c r="A17" s="56" t="n"/>
    </row>
    <row r="18" ht="13.5" customHeight="1" s="48">
      <c r="A18" s="56" t="n"/>
    </row>
    <row r="19" ht="13.5" customHeight="1" s="48">
      <c r="A19" s="56" t="n"/>
    </row>
    <row r="20" ht="13.5" customHeight="1" s="48">
      <c r="A20" s="56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8">
    <mergeCell ref="A2:N2"/>
    <mergeCell ref="A3:D3"/>
    <mergeCell ref="A15:N20"/>
    <mergeCell ref="A5:B5"/>
    <mergeCell ref="C5:F5"/>
    <mergeCell ref="G5:J5"/>
    <mergeCell ref="K5:N5"/>
    <mergeCell ref="A1:N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48" min="1" max="10"/>
    <col width="8.710000000000001" customWidth="1" style="48" min="11" max="26"/>
  </cols>
  <sheetData>
    <row r="1" ht="27.75" customHeight="1" s="48">
      <c r="A1" s="49" t="inlineStr">
        <is>
          <t>GRÁFICAS DE RENDIMIENTO — UNA MÁQUINA</t>
        </is>
      </c>
    </row>
    <row r="3" ht="27.75" customHeight="1" s="48">
      <c r="A3" s="40" t="inlineStr">
        <is>
          <t>Nº Procs</t>
        </is>
      </c>
      <c r="B3" s="40" t="inlineStr">
        <is>
          <t>T EN (s)</t>
        </is>
      </c>
      <c r="C3" s="40" t="inlineStr">
        <is>
          <t>T ABADIA (s)</t>
        </is>
      </c>
      <c r="D3" s="40" t="inlineStr">
        <is>
          <t>T PERGAMINO (s)</t>
        </is>
      </c>
      <c r="E3" s="40" t="inlineStr">
        <is>
          <t>NI/s EN</t>
        </is>
      </c>
      <c r="F3" s="40" t="inlineStr">
        <is>
          <t>NI/s ABADIA</t>
        </is>
      </c>
      <c r="G3" s="40" t="inlineStr">
        <is>
          <t>NI/s PERGAMINO</t>
        </is>
      </c>
      <c r="H3" s="40" t="inlineStr">
        <is>
          <t>SP EN</t>
        </is>
      </c>
      <c r="I3" s="40" t="inlineStr">
        <is>
          <t>SP ABADIA</t>
        </is>
      </c>
      <c r="J3" s="40" t="inlineStr">
        <is>
          <t>SP PERGAMINO</t>
        </is>
      </c>
    </row>
    <row r="4" ht="15.75" customHeight="1" s="48">
      <c r="A4" s="41" t="n">
        <v>1</v>
      </c>
      <c r="B4" s="42">
        <f>'Una Máquina'!C7</f>
        <v/>
      </c>
      <c r="C4" s="41">
        <f>'Una Máquina'!G7</f>
        <v/>
      </c>
      <c r="D4" s="41">
        <f>'Una Máquina'!K7</f>
        <v/>
      </c>
      <c r="E4" s="43">
        <f>'Una Máquina'!E7</f>
        <v/>
      </c>
      <c r="F4" s="43">
        <f>'Una Máquina'!I7</f>
        <v/>
      </c>
      <c r="G4" s="43">
        <f>'Una Máquina'!M7</f>
        <v/>
      </c>
      <c r="H4" s="44">
        <f>'Una Máquina'!F7</f>
        <v/>
      </c>
      <c r="I4" s="44">
        <f>'Una Máquina'!J7</f>
        <v/>
      </c>
      <c r="J4" s="44">
        <f>'Una Máquina'!N7</f>
        <v/>
      </c>
    </row>
    <row r="5" ht="15.75" customHeight="1" s="48">
      <c r="A5" s="41" t="n">
        <v>2</v>
      </c>
      <c r="B5" s="42">
        <f>'Una Máquina'!C8</f>
        <v/>
      </c>
      <c r="C5" s="41">
        <f>'Una Máquina'!G8</f>
        <v/>
      </c>
      <c r="D5" s="41">
        <f>'Una Máquina'!K8</f>
        <v/>
      </c>
      <c r="E5" s="43">
        <f>'Una Máquina'!E8</f>
        <v/>
      </c>
      <c r="F5" s="43">
        <f>'Una Máquina'!I8</f>
        <v/>
      </c>
      <c r="G5" s="43">
        <f>'Una Máquina'!M8</f>
        <v/>
      </c>
      <c r="H5" s="44">
        <f>'Una Máquina'!F8</f>
        <v/>
      </c>
      <c r="I5" s="44">
        <f>'Una Máquina'!J8</f>
        <v/>
      </c>
      <c r="J5" s="44">
        <f>'Una Máquina'!N8</f>
        <v/>
      </c>
    </row>
    <row r="6" ht="15.75" customHeight="1" s="48">
      <c r="A6" s="41" t="n">
        <v>4</v>
      </c>
      <c r="B6" s="45">
        <f>'Una Máquina'!C9</f>
        <v/>
      </c>
      <c r="C6" s="41">
        <f>'Una Máquina'!G9</f>
        <v/>
      </c>
      <c r="D6" s="46">
        <f>'Una Máquina'!K9</f>
        <v/>
      </c>
      <c r="E6" s="43">
        <f>'Una Máquina'!E9</f>
        <v/>
      </c>
      <c r="F6" s="43">
        <f>'Una Máquina'!I9</f>
        <v/>
      </c>
      <c r="G6" s="43">
        <f>'Una Máquina'!M9</f>
        <v/>
      </c>
      <c r="H6" s="44">
        <f>'Una Máquina'!F9</f>
        <v/>
      </c>
      <c r="I6" s="44">
        <f>'Una Máquina'!J9</f>
        <v/>
      </c>
      <c r="J6" s="44">
        <f>'Una Máquina'!N9</f>
        <v/>
      </c>
    </row>
    <row r="7" ht="15.75" customHeight="1" s="48">
      <c r="A7" s="41" t="n">
        <v>8</v>
      </c>
      <c r="B7" s="41">
        <f>'Una Máquina'!C10</f>
        <v/>
      </c>
      <c r="C7" s="42">
        <f>'Una Máquina'!G10</f>
        <v/>
      </c>
      <c r="D7" s="46">
        <f>'Una Máquina'!K10</f>
        <v/>
      </c>
      <c r="E7" s="43">
        <f>'Una Máquina'!E10</f>
        <v/>
      </c>
      <c r="F7" s="43">
        <f>'Una Máquina'!I10</f>
        <v/>
      </c>
      <c r="G7" s="43">
        <f>'Una Máquina'!M10</f>
        <v/>
      </c>
      <c r="H7" s="44">
        <f>'Una Máquina'!F10</f>
        <v/>
      </c>
      <c r="I7" s="44">
        <f>'Una Máquina'!J10</f>
        <v/>
      </c>
      <c r="J7" s="44">
        <f>'Una Máquina'!N10</f>
        <v/>
      </c>
    </row>
    <row r="8" ht="15.75" customHeight="1" s="48">
      <c r="A8" s="41" t="n">
        <v>16</v>
      </c>
      <c r="B8" s="41">
        <f>'Una Máquina'!C11</f>
        <v/>
      </c>
      <c r="C8" s="41">
        <f>'Una Máquina'!G11</f>
        <v/>
      </c>
      <c r="D8" s="42">
        <f>'Una Máquina'!K11</f>
        <v/>
      </c>
      <c r="E8" s="43">
        <f>'Una Máquina'!E11</f>
        <v/>
      </c>
      <c r="F8" s="43">
        <f>'Una Máquina'!I11</f>
        <v/>
      </c>
      <c r="G8" s="43">
        <f>'Una Máquina'!M11</f>
        <v/>
      </c>
      <c r="H8" s="44">
        <f>'Una Máquina'!F11</f>
        <v/>
      </c>
      <c r="I8" s="44">
        <f>'Una Máquina'!J11</f>
        <v/>
      </c>
      <c r="J8" s="44">
        <f>'Una Máquina'!N11</f>
        <v/>
      </c>
    </row>
    <row r="9" ht="15.75" customHeight="1" s="48">
      <c r="A9" s="41" t="n">
        <v>32</v>
      </c>
      <c r="B9" s="42">
        <f>'Una Máquina'!C12</f>
        <v/>
      </c>
      <c r="C9" s="41">
        <f>'Una Máquina'!G12</f>
        <v/>
      </c>
      <c r="D9" s="41">
        <f>'Una Máquina'!K12</f>
        <v/>
      </c>
      <c r="E9" s="43">
        <f>'Una Máquina'!E12</f>
        <v/>
      </c>
      <c r="F9" s="43">
        <f>'Una Máquina'!I12</f>
        <v/>
      </c>
      <c r="G9" s="43">
        <f>'Una Máquina'!M12</f>
        <v/>
      </c>
      <c r="H9" s="44">
        <f>'Una Máquina'!F12</f>
        <v/>
      </c>
      <c r="I9" s="44">
        <f>'Una Máquina'!J12</f>
        <v/>
      </c>
      <c r="J9" s="44">
        <f>'Una Máquina'!N12</f>
        <v/>
      </c>
    </row>
    <row r="10" ht="15.75" customHeight="1" s="48">
      <c r="A10" s="41" t="n">
        <v>64</v>
      </c>
      <c r="B10" s="47">
        <f>'Una Máquina'!C13</f>
        <v/>
      </c>
      <c r="C10" s="41">
        <f>'Una Máquina'!G13</f>
        <v/>
      </c>
      <c r="D10" s="42">
        <f>'Una Máquina'!K13</f>
        <v/>
      </c>
      <c r="E10" s="43">
        <f>'Una Máquina'!E13</f>
        <v/>
      </c>
      <c r="F10" s="43">
        <f>'Una Máquina'!I13</f>
        <v/>
      </c>
      <c r="G10" s="43">
        <f>'Una Máquina'!M13</f>
        <v/>
      </c>
      <c r="H10" s="44">
        <f>'Una Máquina'!F13</f>
        <v/>
      </c>
      <c r="I10" s="44">
        <f>'Una Máquina'!J13</f>
        <v/>
      </c>
      <c r="J10" s="44">
        <f>'Una Máquina'!N13</f>
        <v/>
      </c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3.5" customHeight="1" s="48">
      <c r="A72" s="54" t="inlineStr">
        <is>
          <t>POR QUÉ SE USA NI/s PARA EL SPEEDUP:
Con búsqueda aleatoria cada buscador usa una semilla distinta, por lo que el tiempo total varía entre ejecuciones (la clave puede encontrarse antes o después por azar). Los Intentos/segundo sí escalan de forma determinista: al doblar buscadores se generan ~el doble de claves por segundo. Por tanto el Speedup = NI/s(N buscadores) / NI/s(1 buscador) refleja el paralelismo real.
El gráfico de Tiempo se incluye de todas formas para mostrar la variabilidad inherente a la búsqueda aleatoria.</t>
        </is>
      </c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 ht="13.5" customHeight="1" s="48">
      <c r="A73" s="56" t="n"/>
    </row>
    <row r="74" ht="13.5" customHeight="1" s="48">
      <c r="A74" s="56" t="n"/>
    </row>
    <row r="75" ht="13.5" customHeight="1" s="48">
      <c r="A75" s="56" t="n"/>
    </row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72:R75"/>
    <mergeCell ref="A1:R1"/>
  </mergeCells>
  <pageMargins left="0.75" right="0.75" top="1" bottom="1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2026-02-28T11:03:48Z</dcterms:created>
  <dcterms:modified xmlns:dcterms="http://purl.org/dc/terms/" xmlns:xsi="http://www.w3.org/2001/XMLSchema-instance" xsi:type="dcterms:W3CDTF">2026-03-17T12:43:49Z</dcterms:modified>
</cp:coreProperties>
</file>