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4E920A0-D01C-402C-B7BF-E58BDF5F26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a Máquina" sheetId="1" r:id="rId1"/>
    <sheet name="Varias Máquinas" sheetId="2" r:id="rId2"/>
    <sheet name="Gráfic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nY5Wn9WJL6Y3WuTyfZXnHq7OzQoCD3IIoiJk4CvYLs="/>
    </ext>
  </extLst>
</workbook>
</file>

<file path=xl/calcChain.xml><?xml version="1.0" encoding="utf-8"?>
<calcChain xmlns="http://schemas.openxmlformats.org/spreadsheetml/2006/main">
  <c r="D10" i="3" l="1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M13" i="2"/>
  <c r="N13" i="2" s="1"/>
  <c r="I13" i="2"/>
  <c r="J13" i="2" s="1"/>
  <c r="E13" i="2"/>
  <c r="F13" i="2" s="1"/>
  <c r="B13" i="2"/>
  <c r="M12" i="2"/>
  <c r="N12" i="2" s="1"/>
  <c r="I12" i="2"/>
  <c r="J12" i="2" s="1"/>
  <c r="E12" i="2"/>
  <c r="F12" i="2" s="1"/>
  <c r="B12" i="2"/>
  <c r="M11" i="2"/>
  <c r="N11" i="2" s="1"/>
  <c r="I11" i="2"/>
  <c r="J11" i="2" s="1"/>
  <c r="E11" i="2"/>
  <c r="F11" i="2" s="1"/>
  <c r="B11" i="2"/>
  <c r="M10" i="2"/>
  <c r="N10" i="2" s="1"/>
  <c r="I10" i="2"/>
  <c r="J10" i="2" s="1"/>
  <c r="E10" i="2"/>
  <c r="F10" i="2" s="1"/>
  <c r="B10" i="2"/>
  <c r="M9" i="2"/>
  <c r="N9" i="2" s="1"/>
  <c r="I9" i="2"/>
  <c r="J9" i="2" s="1"/>
  <c r="E9" i="2"/>
  <c r="F9" i="2" s="1"/>
  <c r="B9" i="2"/>
  <c r="M8" i="2"/>
  <c r="N8" i="2" s="1"/>
  <c r="I8" i="2"/>
  <c r="J8" i="2" s="1"/>
  <c r="E8" i="2"/>
  <c r="F8" i="2" s="1"/>
  <c r="B8" i="2"/>
  <c r="M7" i="2"/>
  <c r="N7" i="2" s="1"/>
  <c r="I7" i="2"/>
  <c r="J7" i="2" s="1"/>
  <c r="E7" i="2"/>
  <c r="F7" i="2" s="1"/>
  <c r="B7" i="2"/>
  <c r="M13" i="1"/>
  <c r="G10" i="3" s="1"/>
  <c r="I13" i="1"/>
  <c r="E13" i="1"/>
  <c r="B13" i="1"/>
  <c r="M12" i="1"/>
  <c r="I12" i="1"/>
  <c r="E12" i="1"/>
  <c r="B12" i="1"/>
  <c r="M11" i="1"/>
  <c r="I11" i="1"/>
  <c r="E11" i="1"/>
  <c r="B11" i="1"/>
  <c r="M10" i="1"/>
  <c r="I10" i="1"/>
  <c r="E10" i="1"/>
  <c r="B10" i="1"/>
  <c r="M9" i="1"/>
  <c r="I9" i="1"/>
  <c r="E9" i="1"/>
  <c r="B9" i="1"/>
  <c r="M8" i="1"/>
  <c r="I8" i="1"/>
  <c r="E8" i="1"/>
  <c r="B8" i="1"/>
  <c r="M7" i="1"/>
  <c r="I7" i="1"/>
  <c r="E7" i="1"/>
  <c r="B7" i="1"/>
  <c r="F10" i="3" l="1"/>
  <c r="J13" i="1"/>
  <c r="I10" i="3" s="1"/>
  <c r="E10" i="3"/>
  <c r="F13" i="1"/>
  <c r="H10" i="3" s="1"/>
  <c r="N12" i="1"/>
  <c r="J9" i="3" s="1"/>
  <c r="G9" i="3"/>
  <c r="F9" i="3"/>
  <c r="J12" i="1"/>
  <c r="I9" i="3" s="1"/>
  <c r="E9" i="3"/>
  <c r="F12" i="1"/>
  <c r="H9" i="3" s="1"/>
  <c r="N11" i="1"/>
  <c r="J8" i="3" s="1"/>
  <c r="G8" i="3"/>
  <c r="J11" i="1"/>
  <c r="I8" i="3" s="1"/>
  <c r="F8" i="3"/>
  <c r="E8" i="3"/>
  <c r="F11" i="1"/>
  <c r="H8" i="3" s="1"/>
  <c r="N10" i="1"/>
  <c r="J7" i="3" s="1"/>
  <c r="G7" i="3"/>
  <c r="F7" i="3"/>
  <c r="J10" i="1"/>
  <c r="I7" i="3" s="1"/>
  <c r="E7" i="3"/>
  <c r="F10" i="1"/>
  <c r="H7" i="3" s="1"/>
  <c r="G6" i="3"/>
  <c r="N9" i="1"/>
  <c r="J6" i="3" s="1"/>
  <c r="F6" i="3"/>
  <c r="J9" i="1"/>
  <c r="I6" i="3" s="1"/>
  <c r="E6" i="3"/>
  <c r="F9" i="1"/>
  <c r="H6" i="3" s="1"/>
  <c r="G5" i="3"/>
  <c r="N8" i="1"/>
  <c r="J5" i="3" s="1"/>
  <c r="F5" i="3"/>
  <c r="J8" i="1"/>
  <c r="I5" i="3" s="1"/>
  <c r="E5" i="3"/>
  <c r="F8" i="1"/>
  <c r="H5" i="3" s="1"/>
  <c r="G4" i="3"/>
  <c r="N7" i="1"/>
  <c r="J4" i="3" s="1"/>
  <c r="F4" i="3"/>
  <c r="J7" i="1"/>
  <c r="I4" i="3" s="1"/>
  <c r="F7" i="1"/>
  <c r="H4" i="3" s="1"/>
  <c r="E4" i="3"/>
  <c r="N13" i="1"/>
  <c r="J10" i="3" s="1"/>
</calcChain>
</file>

<file path=xl/sharedStrings.xml><?xml version="1.0" encoding="utf-8"?>
<sst xmlns="http://schemas.openxmlformats.org/spreadsheetml/2006/main" count="55" uniqueCount="30">
  <si>
    <t>PRÁCTICA MPI — Mediciones de Rendimiento — UNA MÁQUINA</t>
  </si>
  <si>
    <t>Pista: EN</t>
  </si>
  <si>
    <t>Pista: ABADIA</t>
  </si>
  <si>
    <t>Pista: PERGAMINO</t>
  </si>
  <si>
    <t>Nº
Procs</t>
  </si>
  <si>
    <t>Nº
Busc.</t>
  </si>
  <si>
    <t>Tiempo
(s)</t>
  </si>
  <si>
    <t>NI
(intentos)</t>
  </si>
  <si>
    <t>NI/s
(intentos/s)</t>
  </si>
  <si>
    <t>Speedup
NI/s</t>
  </si>
  <si>
    <t>Aciertos PISTA en mensaje descifrado (Consultas a proceso de E/S)</t>
  </si>
  <si>
    <t>EN</t>
  </si>
  <si>
    <t>ABADIA</t>
  </si>
  <si>
    <t>PERGAMINO</t>
  </si>
  <si>
    <t>PRÁCTICA MPI — Mediciones de Rendimiento — VARIAS MÁQUINAS EN RED</t>
  </si>
  <si>
    <t>Rellena las celdas AZULES con los valores que imprime el programa. Las celdas BLANCAS se calculan solas.  NI/s = Intentos por segundo  |  SP = Speedup basado en NI/s</t>
  </si>
  <si>
    <t>🔵 Celda azul = dato que introduces tú   |   ⬜ Celda blanca = calculada automáticamente</t>
  </si>
  <si>
    <t>CÓMO RELLENAR:
• Tiempo (s): el valor 'Tiempo total (proceso 0)' que imprime el programa al final.
• NI: el valor 'Intentos totales (todos buscadores)' de la sección TOTALES.
• El Speedup usa como referencia los NI/s de 1 proceso con pista EN (fila 1, columna E).
  → El tiempo NO es fiable para el speedup porque depende de la aleatoriedad de la búsqueda.
  → Los NI/s SÍ escalan linealmente: con 2 buscadores deberían ser ~el doble que con 1.</t>
  </si>
  <si>
    <t>GRÁFICAS DE RENDIMIENTO — UNA MÁQUINA</t>
  </si>
  <si>
    <t>Nº Procs</t>
  </si>
  <si>
    <t>T EN (s)</t>
  </si>
  <si>
    <t>T ABADIA (s)</t>
  </si>
  <si>
    <t>T PERGAMINO (s)</t>
  </si>
  <si>
    <t>NI/s EN</t>
  </si>
  <si>
    <t>NI/s ABADIA</t>
  </si>
  <si>
    <t>NI/s PERGAMINO</t>
  </si>
  <si>
    <t>SP EN</t>
  </si>
  <si>
    <t>SP ABADIA</t>
  </si>
  <si>
    <t>SP PERGAMINO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</si>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</sst>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"/>
    <numFmt numFmtId="165" formatCode="#,##0.0000000"/>
    <numFmt numFmtId="166" formatCode="0.0000000"/>
    <numFmt numFmtId="167" formatCode="0.000000"/>
  </numFmts>
  <fonts count="13" x14ac:knownFonts="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sz val="11"/>
      <color theme="1"/>
      <name val="Calibri"/>
    </font>
    <font>
      <i/>
      <sz val="9"/>
      <color rgb="FF595959"/>
      <name val="Arial"/>
    </font>
    <font>
      <b/>
      <sz val="9"/>
      <color rgb="FF2F5496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10"/>
      <color rgb="FF000080"/>
      <name val="Arial"/>
    </font>
    <font>
      <sz val="10"/>
      <color rgb="FF000000"/>
      <name val="Arial"/>
    </font>
    <font>
      <i/>
      <sz val="9"/>
      <color rgb="FF404040"/>
      <name val="Arial"/>
    </font>
    <font>
      <b/>
      <sz val="12"/>
      <color rgb="FF1F497D"/>
      <name val="Arial"/>
    </font>
    <font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1F497D"/>
        <bgColor rgb="FF1F497D"/>
      </patternFill>
    </fill>
    <fill>
      <patternFill patternType="solid">
        <fgColor rgb="FF375623"/>
        <bgColor rgb="FF375623"/>
      </patternFill>
    </fill>
    <fill>
      <patternFill patternType="solid">
        <fgColor rgb="FF7B2C2C"/>
        <bgColor rgb="FF7B2C2C"/>
      </patternFill>
    </fill>
    <fill>
      <patternFill patternType="solid">
        <fgColor rgb="FF2F5496"/>
        <bgColor rgb="FF2F5496"/>
      </patternFill>
    </fill>
    <fill>
      <patternFill patternType="solid">
        <fgColor rgb="FFD6E4F7"/>
        <bgColor rgb="FFD6E4F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2F5496"/>
      </left>
      <right style="thin">
        <color rgb="FFB8CCE4"/>
      </right>
      <top style="medium">
        <color rgb="FF2F5496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medium">
        <color rgb="FF2F5496"/>
      </top>
      <bottom style="thin">
        <color rgb="FFB8CCE4"/>
      </bottom>
      <diagonal/>
    </border>
    <border>
      <left style="thin">
        <color rgb="FFB8CCE4"/>
      </left>
      <right style="medium">
        <color rgb="FF2F5496"/>
      </right>
      <top style="medium">
        <color rgb="FF2F5496"/>
      </top>
      <bottom style="thin">
        <color rgb="FFB8CCE4"/>
      </bottom>
      <diagonal/>
    </border>
    <border>
      <left style="medium">
        <color rgb="FF2F5496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medium">
        <color rgb="FF2F5496"/>
      </right>
      <top style="thin">
        <color rgb="FFB8CCE4"/>
      </top>
      <bottom style="thin">
        <color rgb="FFB8CCE4"/>
      </bottom>
      <diagonal/>
    </border>
    <border>
      <left style="medium">
        <color rgb="FF2F5496"/>
      </left>
      <right style="thin">
        <color rgb="FFB8CCE4"/>
      </right>
      <top style="thin">
        <color rgb="FFB8CCE4"/>
      </top>
      <bottom style="medium">
        <color rgb="FF2F5496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medium">
        <color rgb="FF2F5496"/>
      </bottom>
      <diagonal/>
    </border>
    <border>
      <left style="thin">
        <color rgb="FFB8CCE4"/>
      </left>
      <right style="medium">
        <color rgb="FF2F5496"/>
      </right>
      <top style="thin">
        <color rgb="FFB8CCE4"/>
      </top>
      <bottom style="medium">
        <color rgb="FF2F5496"/>
      </bottom>
      <diagonal/>
    </border>
    <border>
      <left style="medium">
        <color rgb="FF2F5496"/>
      </left>
      <right/>
      <top style="medium">
        <color rgb="FF2F5496"/>
      </top>
      <bottom/>
      <diagonal/>
    </border>
    <border>
      <left/>
      <right/>
      <top style="medium">
        <color rgb="FF2F5496"/>
      </top>
      <bottom/>
      <diagonal/>
    </border>
    <border>
      <left/>
      <right/>
      <top style="medium">
        <color rgb="FF2F5496"/>
      </top>
      <bottom/>
      <diagonal/>
    </border>
    <border>
      <left/>
      <right/>
      <top/>
      <bottom/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thin">
        <color rgb="FF8DB4E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2F5496"/>
      </left>
      <right/>
      <top/>
      <bottom/>
      <diagonal/>
    </border>
    <border>
      <left style="medium">
        <color rgb="FF2F5496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/>
    </xf>
    <xf numFmtId="1" fontId="9" fillId="8" borderId="8" xfId="0" applyNumberFormat="1" applyFont="1" applyFill="1" applyBorder="1" applyAlignment="1">
      <alignment horizontal="center" vertical="center"/>
    </xf>
    <xf numFmtId="164" fontId="8" fillId="7" borderId="8" xfId="0" applyNumberFormat="1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3" fontId="9" fillId="8" borderId="8" xfId="0" applyNumberFormat="1" applyFont="1" applyFill="1" applyBorder="1" applyAlignment="1">
      <alignment horizontal="center" vertical="center"/>
    </xf>
    <xf numFmtId="2" fontId="9" fillId="8" borderId="8" xfId="0" applyNumberFormat="1" applyFont="1" applyFill="1" applyBorder="1" applyAlignment="1">
      <alignment horizontal="center" vertical="center"/>
    </xf>
    <xf numFmtId="2" fontId="9" fillId="8" borderId="9" xfId="0" applyNumberFormat="1" applyFont="1" applyFill="1" applyBorder="1" applyAlignment="1">
      <alignment horizontal="center" vertical="center"/>
    </xf>
    <xf numFmtId="165" fontId="8" fillId="7" borderId="8" xfId="0" applyNumberFormat="1" applyFont="1" applyFill="1" applyBorder="1" applyAlignment="1">
      <alignment horizontal="center" vertical="center"/>
    </xf>
    <xf numFmtId="166" fontId="8" fillId="7" borderId="8" xfId="0" applyNumberFormat="1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67" fontId="8" fillId="7" borderId="11" xfId="0" applyNumberFormat="1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3" fontId="9" fillId="8" borderId="11" xfId="0" applyNumberFormat="1" applyFont="1" applyFill="1" applyBorder="1" applyAlignment="1">
      <alignment horizontal="center" vertical="center"/>
    </xf>
    <xf numFmtId="2" fontId="9" fillId="8" borderId="11" xfId="0" applyNumberFormat="1" applyFont="1" applyFill="1" applyBorder="1" applyAlignment="1">
      <alignment horizontal="center" vertical="center"/>
    </xf>
    <xf numFmtId="164" fontId="8" fillId="7" borderId="11" xfId="0" applyNumberFormat="1" applyFont="1" applyFill="1" applyBorder="1" applyAlignment="1">
      <alignment horizontal="center" vertical="center"/>
    </xf>
    <xf numFmtId="2" fontId="9" fillId="8" borderId="12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16" xfId="0" applyFont="1" applyBorder="1" applyAlignment="1">
      <alignment vertical="top" wrapText="1"/>
    </xf>
    <xf numFmtId="0" fontId="3" fillId="6" borderId="17" xfId="0" applyFont="1" applyFill="1" applyBorder="1"/>
    <xf numFmtId="0" fontId="7" fillId="6" borderId="17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3" fontId="8" fillId="7" borderId="17" xfId="0" applyNumberFormat="1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vertical="top" wrapText="1"/>
    </xf>
    <xf numFmtId="0" fontId="10" fillId="0" borderId="19" xfId="0" applyFont="1" applyBorder="1" applyAlignment="1">
      <alignment vertical="top" wrapText="1"/>
    </xf>
    <xf numFmtId="0" fontId="7" fillId="6" borderId="2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0" fontId="10" fillId="0" borderId="20" xfId="0" applyFont="1" applyBorder="1" applyAlignment="1">
      <alignment vertical="top" wrapText="1"/>
    </xf>
    <xf numFmtId="0" fontId="10" fillId="0" borderId="2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10" fillId="9" borderId="13" xfId="0" applyFont="1" applyFill="1" applyBorder="1" applyAlignment="1">
      <alignment vertical="top" wrapText="1"/>
    </xf>
    <xf numFmtId="0" fontId="2" fillId="0" borderId="14" xfId="0" applyFont="1" applyBorder="1"/>
    <xf numFmtId="0" fontId="2" fillId="0" borderId="15" xfId="0" applyFont="1" applyBorder="1"/>
    <xf numFmtId="0" fontId="2" fillId="0" borderId="20" xfId="0" applyFont="1" applyBorder="1"/>
    <xf numFmtId="0" fontId="2" fillId="0" borderId="16" xfId="0" applyFont="1" applyBorder="1"/>
    <xf numFmtId="0" fontId="2" fillId="0" borderId="21" xfId="0" applyFont="1" applyBorder="1"/>
    <xf numFmtId="0" fontId="2" fillId="0" borderId="18" xfId="0" applyFont="1" applyBorder="1"/>
    <xf numFmtId="0" fontId="2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NI/s EN, NI/s ABADIA y NI/s PERGAMINO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Gráficas!$E$3</c:f>
              <c:strCache>
                <c:ptCount val="1"/>
                <c:pt idx="0">
                  <c:v>NI/s EN</c:v>
                </c:pt>
              </c:strCache>
            </c:strRef>
          </c:tx>
          <c:spPr>
            <a:ln w="38100" cmpd="sng"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cat>
            <c:numRef>
              <c:f>Gráficas!$A$4:$A$10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Gráficas!$E$4:$E$10</c:f>
              <c:numCache>
                <c:formatCode>#,##0</c:formatCode>
                <c:ptCount val="7"/>
                <c:pt idx="0">
                  <c:v>710882.87171234202</c:v>
                </c:pt>
                <c:pt idx="1">
                  <c:v>1280986.7391581191</c:v>
                </c:pt>
                <c:pt idx="2">
                  <c:v>1526757.8515060209</c:v>
                </c:pt>
                <c:pt idx="3">
                  <c:v>2024807.131368754</c:v>
                </c:pt>
                <c:pt idx="4">
                  <c:v>2052581.509702736</c:v>
                </c:pt>
                <c:pt idx="5">
                  <c:v>1954388.7025005694</c:v>
                </c:pt>
                <c:pt idx="6">
                  <c:v>1829141.1582291445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48-42E5-9FB2-647EFF5FF106}"/>
            </c:ext>
          </c:extLst>
        </c:ser>
        <c:ser>
          <c:idx val="1"/>
          <c:order val="1"/>
          <c:tx>
            <c:strRef>
              <c:f>Gráficas!$F$3</c:f>
              <c:strCache>
                <c:ptCount val="1"/>
                <c:pt idx="0">
                  <c:v>NI/s ABADIA</c:v>
                </c:pt>
              </c:strCache>
            </c:strRef>
          </c:tx>
          <c:spPr>
            <a:ln w="38100"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cat>
            <c:numRef>
              <c:f>Gráficas!$A$4:$A$10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Gráficas!$F$4:$F$10</c:f>
              <c:numCache>
                <c:formatCode>#,##0</c:formatCode>
                <c:ptCount val="7"/>
                <c:pt idx="0">
                  <c:v>872764.23894432222</c:v>
                </c:pt>
                <c:pt idx="1">
                  <c:v>1588985.1086070251</c:v>
                </c:pt>
                <c:pt idx="2">
                  <c:v>3326252.5344211753</c:v>
                </c:pt>
                <c:pt idx="3">
                  <c:v>3356070.2505089678</c:v>
                </c:pt>
                <c:pt idx="4">
                  <c:v>3364886.9807265243</c:v>
                </c:pt>
                <c:pt idx="5">
                  <c:v>3307391.0581256514</c:v>
                </c:pt>
                <c:pt idx="6">
                  <c:v>3390234.8228962286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48-42E5-9FB2-647EFF5FF106}"/>
            </c:ext>
          </c:extLst>
        </c:ser>
        <c:ser>
          <c:idx val="2"/>
          <c:order val="2"/>
          <c:tx>
            <c:strRef>
              <c:f>Gráficas!$G$3</c:f>
              <c:strCache>
                <c:ptCount val="1"/>
                <c:pt idx="0">
                  <c:v>NI/s PERGAMINO</c:v>
                </c:pt>
              </c:strCache>
            </c:strRef>
          </c:tx>
          <c:spPr>
            <a:ln w="38100" cmpd="sng">
              <a:solidFill>
                <a:srgbClr val="9BBB59"/>
              </a:solidFill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numRef>
              <c:f>Gráficas!$A$4:$A$10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Gráficas!$G$4:$G$10</c:f>
              <c:numCache>
                <c:formatCode>#,##0</c:formatCode>
                <c:ptCount val="7"/>
                <c:pt idx="0">
                  <c:v>799530.45772351464</c:v>
                </c:pt>
                <c:pt idx="1">
                  <c:v>1522008.0402787745</c:v>
                </c:pt>
                <c:pt idx="2">
                  <c:v>1733945.7678979952</c:v>
                </c:pt>
                <c:pt idx="3">
                  <c:v>2494634.9257723056</c:v>
                </c:pt>
                <c:pt idx="4">
                  <c:v>3405955.896222712</c:v>
                </c:pt>
                <c:pt idx="5">
                  <c:v>3073955.1840437199</c:v>
                </c:pt>
                <c:pt idx="6">
                  <c:v>3413553.9267903822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48-42E5-9FB2-647EFF5FF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06878"/>
        <c:axId val="118799235"/>
      </c:lineChart>
      <c:catAx>
        <c:axId val="102306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Nº Procs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18799235"/>
        <c:crosses val="autoZero"/>
        <c:auto val="1"/>
        <c:lblAlgn val="ctr"/>
        <c:lblOffset val="100"/>
        <c:noMultiLvlLbl val="1"/>
      </c:catAx>
      <c:valAx>
        <c:axId val="1187992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023068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6515100" cy="4905375"/>
    <xdr:graphicFrame macro="">
      <xdr:nvGraphicFramePr>
        <xdr:cNvPr id="945055127" name="Chart 1" title="Gráfico">
          <a:extLst>
            <a:ext uri="{FF2B5EF4-FFF2-40B4-BE49-F238E27FC236}">
              <a16:creationId xmlns:a16="http://schemas.microsoft.com/office/drawing/2014/main" id="{00000000-0008-0000-0200-000097655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0</xdr:colOff>
      <xdr:row>13</xdr:row>
      <xdr:rowOff>0</xdr:rowOff>
    </xdr:from>
    <xdr:ext cx="6496050" cy="4905375"/>
    <xdr:pic>
      <xdr:nvPicPr>
        <xdr:cNvPr id="1507610895" name="Chart2" title="Gráfico">
          <a:extLst>
            <a:ext uri="{FF2B5EF4-FFF2-40B4-BE49-F238E27FC236}">
              <a16:creationId xmlns:a16="http://schemas.microsoft.com/office/drawing/2014/main" id="{00000000-0008-0000-0200-00000F51DC5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6515100" cy="4905375"/>
    <xdr:pic>
      <xdr:nvPicPr>
        <xdr:cNvPr id="482039779" name="Chart3" title="Gráfico">
          <a:extLst>
            <a:ext uri="{FF2B5EF4-FFF2-40B4-BE49-F238E27FC236}">
              <a16:creationId xmlns:a16="http://schemas.microsoft.com/office/drawing/2014/main" id="{00000000-0008-0000-0200-0000E357BB1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L14" sqref="L14"/>
    </sheetView>
  </sheetViews>
  <sheetFormatPr baseColWidth="10" defaultColWidth="14.42578125" defaultRowHeight="15" customHeight="1" x14ac:dyDescent="0.25"/>
  <cols>
    <col min="1" max="1" width="10" customWidth="1"/>
    <col min="2" max="2" width="11.85546875" customWidth="1"/>
    <col min="3" max="3" width="14.7109375" customWidth="1"/>
    <col min="4" max="4" width="16" customWidth="1"/>
    <col min="5" max="5" width="14" customWidth="1"/>
    <col min="6" max="6" width="13.28515625" customWidth="1"/>
    <col min="7" max="7" width="11" customWidth="1"/>
    <col min="8" max="8" width="16" customWidth="1"/>
    <col min="9" max="9" width="14" customWidth="1"/>
    <col min="10" max="10" width="9" customWidth="1"/>
    <col min="11" max="11" width="11" customWidth="1"/>
    <col min="12" max="12" width="16" customWidth="1"/>
    <col min="13" max="13" width="14" customWidth="1"/>
    <col min="14" max="14" width="9" customWidth="1"/>
  </cols>
  <sheetData>
    <row r="1" spans="1:26" ht="27.75" customHeight="1" x14ac:dyDescent="0.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5">
      <c r="A3" s="3"/>
      <c r="B3" s="3"/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25">
      <c r="A5" s="50"/>
      <c r="B5" s="49"/>
      <c r="C5" s="51" t="s">
        <v>1</v>
      </c>
      <c r="D5" s="48"/>
      <c r="E5" s="48"/>
      <c r="F5" s="49"/>
      <c r="G5" s="52" t="s">
        <v>2</v>
      </c>
      <c r="H5" s="48"/>
      <c r="I5" s="48"/>
      <c r="J5" s="49"/>
      <c r="K5" s="53" t="s">
        <v>3</v>
      </c>
      <c r="L5" s="48"/>
      <c r="M5" s="48"/>
      <c r="N5" s="4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.5" customHeight="1" x14ac:dyDescent="0.25">
      <c r="A6" s="4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6</v>
      </c>
      <c r="L6" s="5" t="s">
        <v>7</v>
      </c>
      <c r="M6" s="5" t="s">
        <v>8</v>
      </c>
      <c r="N6" s="6" t="s">
        <v>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25">
      <c r="A7" s="7">
        <v>2</v>
      </c>
      <c r="B7" s="8">
        <f t="shared" ref="B7:B13" si="0">A7-1</f>
        <v>1</v>
      </c>
      <c r="C7" s="9">
        <v>146.11792199999999</v>
      </c>
      <c r="D7" s="10">
        <v>103872728</v>
      </c>
      <c r="E7" s="11">
        <f t="shared" ref="E7:E13" si="1">IFERROR(D7/C7,"")</f>
        <v>710882.87171234202</v>
      </c>
      <c r="F7" s="12">
        <f>IFERROR(E7/E7,"")</f>
        <v>1</v>
      </c>
      <c r="G7" s="10">
        <v>119.015793</v>
      </c>
      <c r="H7" s="10">
        <v>103872728</v>
      </c>
      <c r="I7" s="11">
        <f t="shared" ref="I7:I13" si="2">IFERROR(H7/G7,"")</f>
        <v>872764.23894432222</v>
      </c>
      <c r="J7" s="12">
        <f>IFERROR(I7/E7,"")</f>
        <v>1.2277187616604797</v>
      </c>
      <c r="K7" s="10">
        <v>129.91716199999999</v>
      </c>
      <c r="L7" s="10">
        <v>103872728</v>
      </c>
      <c r="M7" s="11">
        <f t="shared" ref="M7:M13" si="3">IFERROR(L7/K7,"")</f>
        <v>799530.45772351464</v>
      </c>
      <c r="N7" s="13">
        <f>IFERROR(M7/E7,"")</f>
        <v>1.1247006919686253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25">
      <c r="A8" s="7">
        <v>3</v>
      </c>
      <c r="B8" s="8">
        <f t="shared" si="0"/>
        <v>2</v>
      </c>
      <c r="C8" s="9">
        <v>162.224919</v>
      </c>
      <c r="D8" s="10">
        <v>207807970</v>
      </c>
      <c r="E8" s="11">
        <f t="shared" si="1"/>
        <v>1280986.7391581191</v>
      </c>
      <c r="F8" s="12">
        <f>IFERROR(E8/E7,"")</f>
        <v>1.8019659639182712</v>
      </c>
      <c r="G8" s="10">
        <v>130.61968100000001</v>
      </c>
      <c r="H8" s="10">
        <v>207552728</v>
      </c>
      <c r="I8" s="11">
        <f t="shared" si="2"/>
        <v>1588985.1086070251</v>
      </c>
      <c r="J8" s="12">
        <f>IFERROR(I8/E7,"")</f>
        <v>2.2352277313695161</v>
      </c>
      <c r="K8" s="10">
        <v>136.9853</v>
      </c>
      <c r="L8" s="10">
        <v>208492728</v>
      </c>
      <c r="M8" s="11">
        <f t="shared" si="3"/>
        <v>1522008.0402787745</v>
      </c>
      <c r="N8" s="13">
        <f>IFERROR(M8/E7,"")</f>
        <v>2.1410109890714222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25">
      <c r="A9" s="7">
        <v>5</v>
      </c>
      <c r="B9" s="8">
        <f t="shared" si="0"/>
        <v>4</v>
      </c>
      <c r="C9" s="14">
        <v>49.276246999999998</v>
      </c>
      <c r="D9" s="10">
        <v>75232897</v>
      </c>
      <c r="E9" s="11">
        <f t="shared" si="1"/>
        <v>1526757.8515060209</v>
      </c>
      <c r="F9" s="12">
        <f>IFERROR(E9/E7,"")</f>
        <v>2.147692555636397</v>
      </c>
      <c r="G9" s="10">
        <v>23.630148999999999</v>
      </c>
      <c r="H9" s="10">
        <v>78599843</v>
      </c>
      <c r="I9" s="11">
        <f t="shared" si="2"/>
        <v>3326252.5344211753</v>
      </c>
      <c r="J9" s="12">
        <f>IFERROR(I9/E7,"")</f>
        <v>4.6790444203685073</v>
      </c>
      <c r="K9" s="15">
        <v>45.422322000000001</v>
      </c>
      <c r="L9" s="10">
        <v>78759843</v>
      </c>
      <c r="M9" s="11">
        <f t="shared" si="3"/>
        <v>1733945.7678979952</v>
      </c>
      <c r="N9" s="13">
        <f>IFERROR(M9/E7,"")</f>
        <v>2.4391441078350167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25">
      <c r="A10" s="7">
        <v>9</v>
      </c>
      <c r="B10" s="8">
        <f t="shared" si="0"/>
        <v>8</v>
      </c>
      <c r="C10" s="10">
        <v>78.501620000000003</v>
      </c>
      <c r="D10" s="10">
        <v>158950640</v>
      </c>
      <c r="E10" s="11">
        <f t="shared" si="1"/>
        <v>2024807.131368754</v>
      </c>
      <c r="F10" s="12">
        <f>IFERROR(E10/E7,"")</f>
        <v>2.848299223318592</v>
      </c>
      <c r="G10" s="9">
        <v>44.000819999999997</v>
      </c>
      <c r="H10" s="10">
        <v>147669843</v>
      </c>
      <c r="I10" s="11">
        <f t="shared" si="2"/>
        <v>3356070.2505089678</v>
      </c>
      <c r="J10" s="12">
        <f>IFERROR(I10/E7,"")</f>
        <v>4.7209890462334814</v>
      </c>
      <c r="K10" s="15">
        <v>67.015754999999999</v>
      </c>
      <c r="L10" s="10">
        <v>167179843</v>
      </c>
      <c r="M10" s="11">
        <f t="shared" si="3"/>
        <v>2494634.9257723056</v>
      </c>
      <c r="N10" s="13">
        <f>IFERROR(M10/E7,"")</f>
        <v>3.5092066851510202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25">
      <c r="A11" s="7">
        <v>17</v>
      </c>
      <c r="B11" s="8">
        <f t="shared" si="0"/>
        <v>16</v>
      </c>
      <c r="C11" s="10">
        <v>162.36987199999999</v>
      </c>
      <c r="D11" s="10">
        <v>333277397</v>
      </c>
      <c r="E11" s="11">
        <f t="shared" si="1"/>
        <v>2052581.509702736</v>
      </c>
      <c r="F11" s="12">
        <f>IFERROR(E11/E7,"")</f>
        <v>2.887369482905914</v>
      </c>
      <c r="G11" s="10">
        <v>98.407419000000004</v>
      </c>
      <c r="H11" s="10">
        <v>331129843</v>
      </c>
      <c r="I11" s="11">
        <f t="shared" si="2"/>
        <v>3364886.9807265243</v>
      </c>
      <c r="J11" s="12">
        <f>IFERROR(I11/E7,"")</f>
        <v>4.7333915538312787</v>
      </c>
      <c r="K11" s="9">
        <v>85.920033000000004</v>
      </c>
      <c r="L11" s="10">
        <v>292639843</v>
      </c>
      <c r="M11" s="11">
        <f t="shared" si="3"/>
        <v>3405955.896222712</v>
      </c>
      <c r="N11" s="13">
        <f>IFERROR(M11/E7,"")</f>
        <v>4.7911632587497879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x14ac:dyDescent="0.25">
      <c r="A12" s="7">
        <v>33</v>
      </c>
      <c r="B12" s="8">
        <f t="shared" si="0"/>
        <v>32</v>
      </c>
      <c r="C12" s="9">
        <v>187.24766600000001</v>
      </c>
      <c r="D12" s="10">
        <v>365954723</v>
      </c>
      <c r="E12" s="11">
        <f t="shared" si="1"/>
        <v>1954388.7025005694</v>
      </c>
      <c r="F12" s="12">
        <f>IFERROR(E12/E7,"")</f>
        <v>2.7492415139964304</v>
      </c>
      <c r="G12" s="10">
        <v>111.927898</v>
      </c>
      <c r="H12" s="10">
        <v>370189329</v>
      </c>
      <c r="I12" s="11">
        <f t="shared" si="2"/>
        <v>3307391.0581256514</v>
      </c>
      <c r="J12" s="12">
        <f>IFERROR(I12/E7,"")</f>
        <v>4.6525119534234376</v>
      </c>
      <c r="K12" s="10">
        <v>114.191427</v>
      </c>
      <c r="L12" s="10">
        <v>351019329</v>
      </c>
      <c r="M12" s="11">
        <f t="shared" si="3"/>
        <v>3073955.1840437199</v>
      </c>
      <c r="N12" s="13">
        <f>IFERROR(M12/E7,"")</f>
        <v>4.3241373598428634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25">
      <c r="A13" s="16">
        <v>65</v>
      </c>
      <c r="B13" s="17">
        <f t="shared" si="0"/>
        <v>64</v>
      </c>
      <c r="C13" s="18">
        <v>86.841037</v>
      </c>
      <c r="D13" s="19">
        <v>158844515</v>
      </c>
      <c r="E13" s="20">
        <f t="shared" si="1"/>
        <v>1829141.1582291445</v>
      </c>
      <c r="F13" s="21">
        <f>IFERROR(E13/E7,"")</f>
        <v>2.5730556059441878</v>
      </c>
      <c r="G13" s="19">
        <v>45.892501000000003</v>
      </c>
      <c r="H13" s="19">
        <v>155586355</v>
      </c>
      <c r="I13" s="20">
        <f t="shared" si="2"/>
        <v>3390234.8228962286</v>
      </c>
      <c r="J13" s="21">
        <f>IFERROR(I13/E7,"")</f>
        <v>4.7690484013632046</v>
      </c>
      <c r="K13" s="22">
        <v>48.482126999999998</v>
      </c>
      <c r="L13" s="19">
        <v>165496355</v>
      </c>
      <c r="M13" s="20">
        <f t="shared" si="3"/>
        <v>3413553.9267903822</v>
      </c>
      <c r="N13" s="23">
        <f>IFERROR(M13/E7,"")</f>
        <v>4.8018514197254047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5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5">
      <c r="A16" s="54" t="s">
        <v>10</v>
      </c>
      <c r="B16" s="55"/>
      <c r="C16" s="55"/>
      <c r="D16" s="55"/>
      <c r="E16" s="55"/>
      <c r="F16" s="55"/>
      <c r="G16" s="55"/>
      <c r="H16" s="55"/>
      <c r="I16" s="27"/>
      <c r="J16" s="27"/>
      <c r="K16" s="27"/>
      <c r="L16" s="27"/>
      <c r="M16" s="27"/>
      <c r="N16" s="2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5">
      <c r="A17" s="29"/>
      <c r="B17" s="30">
        <v>1</v>
      </c>
      <c r="C17" s="30">
        <v>2</v>
      </c>
      <c r="D17" s="30">
        <v>4</v>
      </c>
      <c r="E17" s="30">
        <v>8</v>
      </c>
      <c r="F17" s="30">
        <v>16</v>
      </c>
      <c r="G17" s="30">
        <v>32</v>
      </c>
      <c r="H17" s="30">
        <v>64</v>
      </c>
      <c r="I17" s="27"/>
      <c r="J17" s="27"/>
      <c r="K17" s="27"/>
      <c r="L17" s="27"/>
      <c r="M17" s="27"/>
      <c r="N17" s="28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31" t="s">
        <v>11</v>
      </c>
      <c r="B18" s="32">
        <v>20299467</v>
      </c>
      <c r="C18" s="32">
        <v>40613541</v>
      </c>
      <c r="D18" s="32">
        <v>14703241</v>
      </c>
      <c r="E18" s="32">
        <v>31058357</v>
      </c>
      <c r="F18" s="32">
        <v>65117895</v>
      </c>
      <c r="G18" s="32">
        <v>71501062</v>
      </c>
      <c r="H18" s="32">
        <v>31036095</v>
      </c>
      <c r="I18" s="27"/>
      <c r="J18" s="27"/>
      <c r="K18" s="27"/>
      <c r="L18" s="27"/>
      <c r="M18" s="27"/>
      <c r="N18" s="2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33" t="s">
        <v>12</v>
      </c>
      <c r="B19" s="32">
        <v>12</v>
      </c>
      <c r="C19" s="32">
        <v>24</v>
      </c>
      <c r="D19" s="32">
        <v>13</v>
      </c>
      <c r="E19" s="32">
        <v>16</v>
      </c>
      <c r="F19" s="32">
        <v>34</v>
      </c>
      <c r="G19" s="32">
        <v>39</v>
      </c>
      <c r="H19" s="32">
        <v>22</v>
      </c>
      <c r="I19" s="27"/>
      <c r="J19" s="27"/>
      <c r="K19" s="27"/>
      <c r="L19" s="27"/>
      <c r="M19" s="27"/>
      <c r="N19" s="2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34" t="s">
        <v>13</v>
      </c>
      <c r="B20" s="32">
        <v>1</v>
      </c>
      <c r="C20" s="32">
        <v>1</v>
      </c>
      <c r="D20" s="32">
        <v>1</v>
      </c>
      <c r="E20" s="32">
        <v>1</v>
      </c>
      <c r="F20" s="32">
        <v>1</v>
      </c>
      <c r="G20" s="32">
        <v>1</v>
      </c>
      <c r="H20" s="32">
        <v>1</v>
      </c>
      <c r="I20" s="35"/>
      <c r="J20" s="35"/>
      <c r="K20" s="35"/>
      <c r="L20" s="35"/>
      <c r="M20" s="35"/>
      <c r="N20" s="3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16:H16"/>
    <mergeCell ref="A1:N1"/>
    <mergeCell ref="A5:B5"/>
    <mergeCell ref="C5:F5"/>
    <mergeCell ref="G5:J5"/>
    <mergeCell ref="K5:N5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N1"/>
    </sheetView>
  </sheetViews>
  <sheetFormatPr baseColWidth="10" defaultColWidth="14.42578125" defaultRowHeight="15" customHeight="1" x14ac:dyDescent="0.25"/>
  <cols>
    <col min="1" max="1" width="10" customWidth="1"/>
    <col min="2" max="2" width="9" customWidth="1"/>
    <col min="3" max="3" width="11" customWidth="1"/>
    <col min="4" max="4" width="16" customWidth="1"/>
    <col min="5" max="5" width="14" customWidth="1"/>
    <col min="6" max="6" width="9" customWidth="1"/>
    <col min="7" max="7" width="11" customWidth="1"/>
    <col min="8" max="8" width="16" customWidth="1"/>
    <col min="9" max="9" width="14" customWidth="1"/>
    <col min="10" max="10" width="9" customWidth="1"/>
    <col min="11" max="11" width="11" customWidth="1"/>
    <col min="12" max="12" width="16" customWidth="1"/>
    <col min="13" max="13" width="14" customWidth="1"/>
    <col min="14" max="14" width="9" customWidth="1"/>
  </cols>
  <sheetData>
    <row r="1" spans="1:26" ht="27.75" customHeight="1" x14ac:dyDescent="0.25">
      <c r="A1" s="47" t="s">
        <v>14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56" t="s">
        <v>15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5">
      <c r="A3" s="57" t="s">
        <v>16</v>
      </c>
      <c r="B3" s="55"/>
      <c r="C3" s="55"/>
      <c r="D3" s="5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25">
      <c r="A5" s="50"/>
      <c r="B5" s="49"/>
      <c r="C5" s="51" t="s">
        <v>1</v>
      </c>
      <c r="D5" s="48"/>
      <c r="E5" s="48"/>
      <c r="F5" s="49"/>
      <c r="G5" s="52" t="s">
        <v>2</v>
      </c>
      <c r="H5" s="48"/>
      <c r="I5" s="48"/>
      <c r="J5" s="49"/>
      <c r="K5" s="53" t="s">
        <v>3</v>
      </c>
      <c r="L5" s="48"/>
      <c r="M5" s="48"/>
      <c r="N5" s="4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.5" customHeight="1" x14ac:dyDescent="0.25">
      <c r="A6" s="4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6</v>
      </c>
      <c r="L6" s="5" t="s">
        <v>7</v>
      </c>
      <c r="M6" s="5" t="s">
        <v>8</v>
      </c>
      <c r="N6" s="6" t="s">
        <v>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25">
      <c r="A7" s="7">
        <v>2</v>
      </c>
      <c r="B7" s="8">
        <f t="shared" ref="B7:B13" si="0">A7-1</f>
        <v>1</v>
      </c>
      <c r="C7" s="10"/>
      <c r="D7" s="10"/>
      <c r="E7" s="11" t="str">
        <f t="shared" ref="E7:E13" si="1">IFERROR(D7/C7,"")</f>
        <v/>
      </c>
      <c r="F7" s="12" t="str">
        <f>IFERROR(E7/E7,"")</f>
        <v/>
      </c>
      <c r="G7" s="10"/>
      <c r="H7" s="10"/>
      <c r="I7" s="11" t="str">
        <f t="shared" ref="I7:I13" si="2">IFERROR(H7/G7,"")</f>
        <v/>
      </c>
      <c r="J7" s="12" t="str">
        <f>IFERROR(I7/E7,"")</f>
        <v/>
      </c>
      <c r="K7" s="10"/>
      <c r="L7" s="10"/>
      <c r="M7" s="11" t="str">
        <f t="shared" ref="M7:M13" si="3">IFERROR(L7/K7,"")</f>
        <v/>
      </c>
      <c r="N7" s="13" t="str">
        <f>IFERROR(M7/E7,"")</f>
        <v/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25">
      <c r="A8" s="7">
        <v>3</v>
      </c>
      <c r="B8" s="8">
        <f t="shared" si="0"/>
        <v>2</v>
      </c>
      <c r="C8" s="10"/>
      <c r="D8" s="10"/>
      <c r="E8" s="11" t="str">
        <f t="shared" si="1"/>
        <v/>
      </c>
      <c r="F8" s="12" t="str">
        <f>IFERROR(E8/E7,"")</f>
        <v/>
      </c>
      <c r="G8" s="10"/>
      <c r="H8" s="10"/>
      <c r="I8" s="11" t="str">
        <f t="shared" si="2"/>
        <v/>
      </c>
      <c r="J8" s="12" t="str">
        <f>IFERROR(I8/E7,"")</f>
        <v/>
      </c>
      <c r="K8" s="10"/>
      <c r="L8" s="10"/>
      <c r="M8" s="11" t="str">
        <f t="shared" si="3"/>
        <v/>
      </c>
      <c r="N8" s="13" t="str">
        <f>IFERROR(M8/E7,"")</f>
        <v/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25">
      <c r="A9" s="7">
        <v>5</v>
      </c>
      <c r="B9" s="8">
        <f t="shared" si="0"/>
        <v>4</v>
      </c>
      <c r="C9" s="10"/>
      <c r="D9" s="10"/>
      <c r="E9" s="11" t="str">
        <f t="shared" si="1"/>
        <v/>
      </c>
      <c r="F9" s="12" t="str">
        <f>IFERROR(E9/E7,"")</f>
        <v/>
      </c>
      <c r="G9" s="10"/>
      <c r="H9" s="10"/>
      <c r="I9" s="11" t="str">
        <f t="shared" si="2"/>
        <v/>
      </c>
      <c r="J9" s="12" t="str">
        <f>IFERROR(I9/E7,"")</f>
        <v/>
      </c>
      <c r="K9" s="10"/>
      <c r="L9" s="10"/>
      <c r="M9" s="11" t="str">
        <f t="shared" si="3"/>
        <v/>
      </c>
      <c r="N9" s="13" t="str">
        <f>IFERROR(M9/E7,"")</f>
        <v/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25">
      <c r="A10" s="7">
        <v>9</v>
      </c>
      <c r="B10" s="8">
        <f t="shared" si="0"/>
        <v>8</v>
      </c>
      <c r="C10" s="10"/>
      <c r="D10" s="10"/>
      <c r="E10" s="11" t="str">
        <f t="shared" si="1"/>
        <v/>
      </c>
      <c r="F10" s="12" t="str">
        <f>IFERROR(E10/E7,"")</f>
        <v/>
      </c>
      <c r="G10" s="10"/>
      <c r="H10" s="10"/>
      <c r="I10" s="11" t="str">
        <f t="shared" si="2"/>
        <v/>
      </c>
      <c r="J10" s="12" t="str">
        <f>IFERROR(I10/E7,"")</f>
        <v/>
      </c>
      <c r="K10" s="10"/>
      <c r="L10" s="10"/>
      <c r="M10" s="11" t="str">
        <f t="shared" si="3"/>
        <v/>
      </c>
      <c r="N10" s="13" t="str">
        <f>IFERROR(M10/E7,"")</f>
        <v/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25">
      <c r="A11" s="7">
        <v>17</v>
      </c>
      <c r="B11" s="8">
        <f t="shared" si="0"/>
        <v>16</v>
      </c>
      <c r="C11" s="10"/>
      <c r="D11" s="10"/>
      <c r="E11" s="11" t="str">
        <f t="shared" si="1"/>
        <v/>
      </c>
      <c r="F11" s="12" t="str">
        <f>IFERROR(E11/E7,"")</f>
        <v/>
      </c>
      <c r="G11" s="10"/>
      <c r="H11" s="10"/>
      <c r="I11" s="11" t="str">
        <f t="shared" si="2"/>
        <v/>
      </c>
      <c r="J11" s="12" t="str">
        <f>IFERROR(I11/E7,"")</f>
        <v/>
      </c>
      <c r="K11" s="10"/>
      <c r="L11" s="10"/>
      <c r="M11" s="11" t="str">
        <f t="shared" si="3"/>
        <v/>
      </c>
      <c r="N11" s="13" t="str">
        <f>IFERROR(M11/E7,"")</f>
        <v/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x14ac:dyDescent="0.25">
      <c r="A12" s="7">
        <v>33</v>
      </c>
      <c r="B12" s="8">
        <f t="shared" si="0"/>
        <v>32</v>
      </c>
      <c r="C12" s="10"/>
      <c r="D12" s="10"/>
      <c r="E12" s="11" t="str">
        <f t="shared" si="1"/>
        <v/>
      </c>
      <c r="F12" s="12" t="str">
        <f>IFERROR(E12/E7,"")</f>
        <v/>
      </c>
      <c r="G12" s="10"/>
      <c r="H12" s="10"/>
      <c r="I12" s="11" t="str">
        <f t="shared" si="2"/>
        <v/>
      </c>
      <c r="J12" s="12" t="str">
        <f>IFERROR(I12/E7,"")</f>
        <v/>
      </c>
      <c r="K12" s="10"/>
      <c r="L12" s="10"/>
      <c r="M12" s="11" t="str">
        <f t="shared" si="3"/>
        <v/>
      </c>
      <c r="N12" s="13" t="str">
        <f>IFERROR(M12/E7,"")</f>
        <v/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25">
      <c r="A13" s="16">
        <v>65</v>
      </c>
      <c r="B13" s="17">
        <f t="shared" si="0"/>
        <v>64</v>
      </c>
      <c r="C13" s="19"/>
      <c r="D13" s="19"/>
      <c r="E13" s="20" t="str">
        <f t="shared" si="1"/>
        <v/>
      </c>
      <c r="F13" s="21" t="str">
        <f>IFERROR(E13/E7,"")</f>
        <v/>
      </c>
      <c r="G13" s="19"/>
      <c r="H13" s="19"/>
      <c r="I13" s="20" t="str">
        <f t="shared" si="2"/>
        <v/>
      </c>
      <c r="J13" s="21" t="str">
        <f>IFERROR(I13/E7,"")</f>
        <v/>
      </c>
      <c r="K13" s="19"/>
      <c r="L13" s="19"/>
      <c r="M13" s="20" t="str">
        <f t="shared" si="3"/>
        <v/>
      </c>
      <c r="N13" s="23" t="str">
        <f>IFERROR(M13/E7,"")</f>
        <v/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5">
      <c r="A15" s="58" t="s">
        <v>17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60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5">
      <c r="A16" s="61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6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5">
      <c r="A17" s="61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6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61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6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61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6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15:N20"/>
    <mergeCell ref="A1:N1"/>
    <mergeCell ref="A2:N2"/>
    <mergeCell ref="A3:D3"/>
    <mergeCell ref="A5:B5"/>
    <mergeCell ref="C5:F5"/>
    <mergeCell ref="G5:J5"/>
    <mergeCell ref="K5:N5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R1"/>
    </sheetView>
  </sheetViews>
  <sheetFormatPr baseColWidth="10" defaultColWidth="14.42578125" defaultRowHeight="15" customHeight="1" x14ac:dyDescent="0.25"/>
  <cols>
    <col min="1" max="10" width="14" customWidth="1"/>
    <col min="11" max="18" width="8.7109375" customWidth="1"/>
  </cols>
  <sheetData>
    <row r="1" spans="1:26" ht="27.75" customHeight="1" x14ac:dyDescent="0.25">
      <c r="A1" s="47" t="s">
        <v>18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9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75" customHeight="1" x14ac:dyDescent="0.25">
      <c r="A3" s="37" t="s">
        <v>19</v>
      </c>
      <c r="B3" s="37" t="s">
        <v>20</v>
      </c>
      <c r="C3" s="37" t="s">
        <v>21</v>
      </c>
      <c r="D3" s="37" t="s">
        <v>22</v>
      </c>
      <c r="E3" s="37" t="s">
        <v>23</v>
      </c>
      <c r="F3" s="37" t="s">
        <v>24</v>
      </c>
      <c r="G3" s="37" t="s">
        <v>25</v>
      </c>
      <c r="H3" s="37" t="s">
        <v>26</v>
      </c>
      <c r="I3" s="37" t="s">
        <v>27</v>
      </c>
      <c r="J3" s="37" t="s">
        <v>28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38">
        <v>1</v>
      </c>
      <c r="B4" s="39">
        <f>'Una Máquina'!C7</f>
        <v>146.11792199999999</v>
      </c>
      <c r="C4" s="38">
        <f>'Una Máquina'!G7</f>
        <v>119.015793</v>
      </c>
      <c r="D4" s="38">
        <f>'Una Máquina'!K7</f>
        <v>129.91716199999999</v>
      </c>
      <c r="E4" s="40">
        <f>'Una Máquina'!E7</f>
        <v>710882.87171234202</v>
      </c>
      <c r="F4" s="40">
        <f>'Una Máquina'!I7</f>
        <v>872764.23894432222</v>
      </c>
      <c r="G4" s="40">
        <f>'Una Máquina'!M7</f>
        <v>799530.45772351464</v>
      </c>
      <c r="H4" s="41">
        <f>'Una Máquina'!F7</f>
        <v>1</v>
      </c>
      <c r="I4" s="41">
        <f>'Una Máquina'!J7</f>
        <v>1.2277187616604797</v>
      </c>
      <c r="J4" s="41">
        <f>'Una Máquina'!N7</f>
        <v>1.1247006919686253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38">
        <v>2</v>
      </c>
      <c r="B5" s="39">
        <f>'Una Máquina'!C8</f>
        <v>162.224919</v>
      </c>
      <c r="C5" s="38">
        <f>'Una Máquina'!G8</f>
        <v>130.61968100000001</v>
      </c>
      <c r="D5" s="38">
        <f>'Una Máquina'!K8</f>
        <v>136.9853</v>
      </c>
      <c r="E5" s="40">
        <f>'Una Máquina'!E8</f>
        <v>1280986.7391581191</v>
      </c>
      <c r="F5" s="40">
        <f>'Una Máquina'!I8</f>
        <v>1588985.1086070251</v>
      </c>
      <c r="G5" s="40">
        <f>'Una Máquina'!M8</f>
        <v>1522008.0402787745</v>
      </c>
      <c r="H5" s="41">
        <f>'Una Máquina'!F8</f>
        <v>1.8019659639182712</v>
      </c>
      <c r="I5" s="41">
        <f>'Una Máquina'!J8</f>
        <v>2.2352277313695161</v>
      </c>
      <c r="J5" s="41">
        <f>'Una Máquina'!N8</f>
        <v>2.1410109890714222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38">
        <v>4</v>
      </c>
      <c r="B6" s="42">
        <f>'Una Máquina'!C9</f>
        <v>49.276246999999998</v>
      </c>
      <c r="C6" s="38">
        <f>'Una Máquina'!G9</f>
        <v>23.630148999999999</v>
      </c>
      <c r="D6" s="43">
        <f>'Una Máquina'!K9</f>
        <v>45.422322000000001</v>
      </c>
      <c r="E6" s="40">
        <f>'Una Máquina'!E9</f>
        <v>1526757.8515060209</v>
      </c>
      <c r="F6" s="40">
        <f>'Una Máquina'!I9</f>
        <v>3326252.5344211753</v>
      </c>
      <c r="G6" s="40">
        <f>'Una Máquina'!M9</f>
        <v>1733945.7678979952</v>
      </c>
      <c r="H6" s="41">
        <f>'Una Máquina'!F9</f>
        <v>2.147692555636397</v>
      </c>
      <c r="I6" s="41">
        <f>'Una Máquina'!J9</f>
        <v>4.6790444203685073</v>
      </c>
      <c r="J6" s="41">
        <f>'Una Máquina'!N9</f>
        <v>2.4391441078350167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38">
        <v>8</v>
      </c>
      <c r="B7" s="38">
        <f>'Una Máquina'!C10</f>
        <v>78.501620000000003</v>
      </c>
      <c r="C7" s="39">
        <f>'Una Máquina'!G10</f>
        <v>44.000819999999997</v>
      </c>
      <c r="D7" s="43">
        <f>'Una Máquina'!K10</f>
        <v>67.015754999999999</v>
      </c>
      <c r="E7" s="40">
        <f>'Una Máquina'!E10</f>
        <v>2024807.131368754</v>
      </c>
      <c r="F7" s="40">
        <f>'Una Máquina'!I10</f>
        <v>3356070.2505089678</v>
      </c>
      <c r="G7" s="40">
        <f>'Una Máquina'!M10</f>
        <v>2494634.9257723056</v>
      </c>
      <c r="H7" s="41">
        <f>'Una Máquina'!F10</f>
        <v>2.848299223318592</v>
      </c>
      <c r="I7" s="41">
        <f>'Una Máquina'!J10</f>
        <v>4.7209890462334814</v>
      </c>
      <c r="J7" s="41">
        <f>'Una Máquina'!N10</f>
        <v>3.5092066851510202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38">
        <v>16</v>
      </c>
      <c r="B8" s="38">
        <f>'Una Máquina'!C11</f>
        <v>162.36987199999999</v>
      </c>
      <c r="C8" s="38">
        <f>'Una Máquina'!G11</f>
        <v>98.407419000000004</v>
      </c>
      <c r="D8" s="39">
        <f>'Una Máquina'!K11</f>
        <v>85.920033000000004</v>
      </c>
      <c r="E8" s="40">
        <f>'Una Máquina'!E11</f>
        <v>2052581.509702736</v>
      </c>
      <c r="F8" s="40">
        <f>'Una Máquina'!I11</f>
        <v>3364886.9807265243</v>
      </c>
      <c r="G8" s="40">
        <f>'Una Máquina'!M11</f>
        <v>3405955.896222712</v>
      </c>
      <c r="H8" s="41">
        <f>'Una Máquina'!F11</f>
        <v>2.887369482905914</v>
      </c>
      <c r="I8" s="41">
        <f>'Una Máquina'!J11</f>
        <v>4.7333915538312787</v>
      </c>
      <c r="J8" s="41">
        <f>'Una Máquina'!N11</f>
        <v>4.7911632587497879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38">
        <v>32</v>
      </c>
      <c r="B9" s="39">
        <f>'Una Máquina'!C12</f>
        <v>187.24766600000001</v>
      </c>
      <c r="C9" s="38">
        <f>'Una Máquina'!G12</f>
        <v>111.927898</v>
      </c>
      <c r="D9" s="38">
        <f>'Una Máquina'!K12</f>
        <v>114.191427</v>
      </c>
      <c r="E9" s="40">
        <f>'Una Máquina'!E12</f>
        <v>1954388.7025005694</v>
      </c>
      <c r="F9" s="40">
        <f>'Una Máquina'!I12</f>
        <v>3307391.0581256514</v>
      </c>
      <c r="G9" s="40">
        <f>'Una Máquina'!M12</f>
        <v>3073955.1840437199</v>
      </c>
      <c r="H9" s="41">
        <f>'Una Máquina'!F12</f>
        <v>2.7492415139964304</v>
      </c>
      <c r="I9" s="41">
        <f>'Una Máquina'!J12</f>
        <v>4.6525119534234376</v>
      </c>
      <c r="J9" s="41">
        <f>'Una Máquina'!N12</f>
        <v>4.3241373598428634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38">
        <v>64</v>
      </c>
      <c r="B10" s="44">
        <f>'Una Máquina'!C13</f>
        <v>86.841037</v>
      </c>
      <c r="C10" s="38">
        <f>'Una Máquina'!G13</f>
        <v>45.892501000000003</v>
      </c>
      <c r="D10" s="39">
        <f>'Una Máquina'!K13</f>
        <v>48.482126999999998</v>
      </c>
      <c r="E10" s="40">
        <f>'Una Máquina'!E13</f>
        <v>1829141.1582291445</v>
      </c>
      <c r="F10" s="40">
        <f>'Una Máquina'!I13</f>
        <v>3390234.8228962286</v>
      </c>
      <c r="G10" s="40">
        <f>'Una Máquina'!M13</f>
        <v>3413553.9267903822</v>
      </c>
      <c r="H10" s="41">
        <f>'Una Máquina'!F13</f>
        <v>2.5730556059441878</v>
      </c>
      <c r="I10" s="41">
        <f>'Una Máquina'!J13</f>
        <v>4.7690484013632046</v>
      </c>
      <c r="J10" s="41">
        <f>'Una Máquina'!N13</f>
        <v>4.8018514197254047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 t="s">
        <v>29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5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6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5">
      <c r="A73" s="45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8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5">
      <c r="A74" s="45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8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5">
      <c r="A75" s="46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6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R1"/>
  </mergeCells>
  <pageMargins left="0.75" right="0.75" top="1" bottom="1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Una Máquina</vt:lpstr>
      <vt:lpstr>Varias Máquinas</vt:lpstr>
      <vt:lpstr>Gráficas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Rubén Hernández Molina</cp:lastModifiedBy>
  <dcterms:created xsi:type="dcterms:W3CDTF">2026-02-28T11:03:48Z</dcterms:created>
  <dcterms:modified xsi:type="dcterms:W3CDTF">2026-03-19T17:32:58Z</dcterms:modified>
</cp:coreProperties>
</file>