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a Máquina" sheetId="1" r:id="rId4"/>
    <sheet state="visible" name="Varias Máquinas" sheetId="2" r:id="rId5"/>
    <sheet state="visible" name="Gráficas" sheetId="3" r:id="rId6"/>
  </sheets>
  <definedNames/>
  <calcPr/>
  <extLst>
    <ext uri="GoogleSheetsCustomDataVersion2">
      <go:sheetsCustomData xmlns:go="http://customooxmlschemas.google.com/" r:id="rId7" roundtripDataChecksum="jeWJZYf84tzUYoTjo0CtnE6/GCt0HCYC+gCW302qMvY="/>
    </ext>
  </extLst>
</workbook>
</file>

<file path=xl/sharedStrings.xml><?xml version="1.0" encoding="utf-8"?>
<sst xmlns="http://schemas.openxmlformats.org/spreadsheetml/2006/main" count="54" uniqueCount="26">
  <si>
    <t>PRÁCTICA MPI — Mediciones de Rendimiento — UNA MÁQUINA</t>
  </si>
  <si>
    <t>Rellena las celdas AZULES con los valores que imprime el programa. Las celdas BLANCAS se calculan solas.  NI/s = Intentos por segundo  |  SP = Speedup basado en NI/s</t>
  </si>
  <si>
    <t>🔵 Celda azul = dato que introduces tú   |   ⬜ Celda blanca = calculada automáticamente</t>
  </si>
  <si>
    <t>Pista: EN</t>
  </si>
  <si>
    <t>Pista: ABADIA</t>
  </si>
  <si>
    <t>Pista: PERGAMINO</t>
  </si>
  <si>
    <t>Nº
Procs</t>
  </si>
  <si>
    <t>Nº
Busc.</t>
  </si>
  <si>
    <t>Tiempo
(s)</t>
  </si>
  <si>
    <t>NI
(intentos)</t>
  </si>
  <si>
    <t>NI/s
(intentos/s)</t>
  </si>
  <si>
    <t>Speedup
NI/s</t>
  </si>
  <si>
    <t>CÓMO RELLENAR:
• Tiempo (s): el valor 'Tiempo total (proceso 0)' que imprime el programa al final.
• NI: el valor 'Intentos totales (todos buscadores)' de la sección TOTALES.
• El Speedup usa como referencia los NI/s de 1 proceso con pista EN (fila 1, columna E).
  → El tiempo NO es fiable para el speedup porque depende de la aleatoriedad de la búsqueda.
  → Los NI/s SÍ escalan linealmente: con 2 buscadores deberían ser ~el doble que con 1.</t>
  </si>
  <si>
    <t>PRÁCTICA MPI — Mediciones de Rendimiento — VARIAS MÁQUINAS EN RED</t>
  </si>
  <si>
    <t>GRÁFICAS DE RENDIMIENTO — UNA MÁQUINA</t>
  </si>
  <si>
    <t>Nº Procs</t>
  </si>
  <si>
    <t>T EN (s)</t>
  </si>
  <si>
    <t>T ABADIA (s)</t>
  </si>
  <si>
    <t>T PERGAMINO (s)</t>
  </si>
  <si>
    <t>NI/s EN</t>
  </si>
  <si>
    <t>NI/s ABADIA</t>
  </si>
  <si>
    <t>NI/s PERGAMINO</t>
  </si>
  <si>
    <t>SP EN</t>
  </si>
  <si>
    <t>SP ABADIA</t>
  </si>
  <si>
    <t>SP PERGAMINO</t>
  </si>
  <si>
    <t>POR QUÉ SE USA NI/s PARA EL SPEEDUP:
Con búsqueda aleatoria cada buscador usa una semilla distinta, por lo que el tiempo total varía entre ejecuciones (la clave puede encontrarse antes o después por azar). Los Intentos/segundo sí escalan de forma determinista: al doblar buscadores se generan ~el doble de claves por segundo. Por tanto el Speedup = NI/s(N buscadores) / NI/s(1 buscador) refleja el paralelismo real.
El gráfico de Tiempo se incluye de todas formas para mostrar la variabilidad inherente a la búsqueda aleatoria.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</si>
</sst>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00"/>
    <numFmt numFmtId="165" formatCode="#,##0.0000000"/>
    <numFmt numFmtId="166" formatCode="0.0000000"/>
    <numFmt numFmtId="167" formatCode="0.000000"/>
  </numFmts>
  <fonts count="11">
    <font>
      <sz val="11.0"/>
      <color theme="1"/>
      <name val="Calibri"/>
      <scheme val="minor"/>
    </font>
    <font>
      <b/>
      <sz val="13.0"/>
      <color rgb="FFFFFFFF"/>
      <name val="Arial"/>
    </font>
    <font/>
    <font>
      <i/>
      <sz val="9.0"/>
      <color rgb="FF595959"/>
      <name val="Arial"/>
    </font>
    <font>
      <b/>
      <sz val="9.0"/>
      <color rgb="FF2F5496"/>
      <name val="Arial"/>
    </font>
    <font>
      <b/>
      <sz val="11.0"/>
      <color rgb="FFFFFFFF"/>
      <name val="Arial"/>
    </font>
    <font>
      <b/>
      <sz val="9.0"/>
      <color rgb="FFFFFFFF"/>
      <name val="Arial"/>
    </font>
    <font>
      <sz val="10.0"/>
      <color rgb="FF000080"/>
      <name val="Arial"/>
    </font>
    <font>
      <sz val="10.0"/>
      <color rgb="FF000000"/>
      <name val="Arial"/>
    </font>
    <font>
      <i/>
      <sz val="9.0"/>
      <color rgb="FF404040"/>
      <name val="Arial"/>
    </font>
    <font>
      <sz val="10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1F497D"/>
        <bgColor rgb="FF1F497D"/>
      </patternFill>
    </fill>
    <fill>
      <patternFill patternType="solid">
        <fgColor rgb="FF375623"/>
        <bgColor rgb="FF375623"/>
      </patternFill>
    </fill>
    <fill>
      <patternFill patternType="solid">
        <fgColor rgb="FF7B2C2C"/>
        <bgColor rgb="FF7B2C2C"/>
      </patternFill>
    </fill>
    <fill>
      <patternFill patternType="solid">
        <fgColor rgb="FF2F5496"/>
        <bgColor rgb="FF2F5496"/>
      </patternFill>
    </fill>
    <fill>
      <patternFill patternType="solid">
        <fgColor rgb="FFD6E4F7"/>
        <bgColor rgb="FFD6E4F7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22">
    <border/>
    <border>
      <left/>
      <top/>
      <bottom/>
    </border>
    <border>
      <top/>
      <bottom/>
    </border>
    <border>
      <right/>
      <top/>
      <bottom/>
    </border>
    <border>
      <left style="medium">
        <color rgb="FF2F5496"/>
      </left>
      <right style="thin">
        <color rgb="FFB8CCE4"/>
      </right>
      <top style="medium">
        <color rgb="FF2F5496"/>
      </top>
      <bottom style="thin">
        <color rgb="FFB8CCE4"/>
      </bottom>
    </border>
    <border>
      <left style="thin">
        <color rgb="FFB8CCE4"/>
      </left>
      <right style="thin">
        <color rgb="FFB8CCE4"/>
      </right>
      <top style="medium">
        <color rgb="FF2F5496"/>
      </top>
      <bottom style="thin">
        <color rgb="FFB8CCE4"/>
      </bottom>
    </border>
    <border>
      <left style="thin">
        <color rgb="FFB8CCE4"/>
      </left>
      <right style="medium">
        <color rgb="FF2F5496"/>
      </right>
      <top style="medium">
        <color rgb="FF2F5496"/>
      </top>
      <bottom style="thin">
        <color rgb="FFB8CCE4"/>
      </bottom>
    </border>
    <border>
      <left style="medium">
        <color rgb="FF2F5496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  <border>
      <left style="thin">
        <color rgb="FFB8CCE4"/>
      </left>
      <right style="medium">
        <color rgb="FF2F5496"/>
      </right>
      <top style="thin">
        <color rgb="FFB8CCE4"/>
      </top>
      <bottom style="thin">
        <color rgb="FFB8CCE4"/>
      </bottom>
    </border>
    <border>
      <left style="medium">
        <color rgb="FF2F5496"/>
      </left>
      <right style="thin">
        <color rgb="FFB8CCE4"/>
      </right>
      <top style="thin">
        <color rgb="FFB8CCE4"/>
      </top>
      <bottom style="medium">
        <color rgb="FF2F5496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medium">
        <color rgb="FF2F5496"/>
      </bottom>
    </border>
    <border>
      <left style="thin">
        <color rgb="FFB8CCE4"/>
      </left>
      <right style="medium">
        <color rgb="FF2F5496"/>
      </right>
      <top style="thin">
        <color rgb="FFB8CCE4"/>
      </top>
      <bottom style="medium">
        <color rgb="FF2F5496"/>
      </bottom>
    </border>
    <border>
      <left style="medium">
        <color rgb="FF2F5496"/>
      </left>
      <top style="medium">
        <color rgb="FF2F5496"/>
      </top>
    </border>
    <border>
      <top style="medium">
        <color rgb="FF2F5496"/>
      </top>
    </border>
    <border>
      <right/>
      <top style="medium">
        <color rgb="FF2F5496"/>
      </top>
    </border>
    <border>
      <left style="medium">
        <color rgb="FF2F5496"/>
      </left>
    </border>
    <border>
      <right/>
    </border>
    <border>
      <left style="medium">
        <color rgb="FF2F5496"/>
      </left>
      <bottom/>
    </border>
    <border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horizontal="left" shrinkToFit="0" vertical="center" wrapText="0"/>
    </xf>
    <xf borderId="1" fillId="2" fontId="5" numFmtId="0" xfId="0" applyAlignment="1" applyBorder="1" applyFont="1">
      <alignment horizontal="center" shrinkToFit="0" vertical="center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5" fontId="5" numFmtId="0" xfId="0" applyAlignment="1" applyBorder="1" applyFill="1" applyFont="1">
      <alignment horizontal="center" shrinkToFit="0" vertical="center" wrapText="1"/>
    </xf>
    <xf borderId="4" fillId="6" fontId="6" numFmtId="0" xfId="0" applyAlignment="1" applyBorder="1" applyFill="1" applyFont="1">
      <alignment horizontal="center" shrinkToFit="0" vertical="center" wrapText="1"/>
    </xf>
    <xf borderId="5" fillId="6" fontId="6" numFmtId="0" xfId="0" applyAlignment="1" applyBorder="1" applyFont="1">
      <alignment horizontal="center" shrinkToFit="0" vertical="center" wrapText="1"/>
    </xf>
    <xf borderId="6" fillId="6" fontId="6" numFmtId="0" xfId="0" applyAlignment="1" applyBorder="1" applyFont="1">
      <alignment horizontal="center" shrinkToFit="0" vertical="center" wrapText="1"/>
    </xf>
    <xf borderId="7" fillId="7" fontId="7" numFmtId="0" xfId="0" applyAlignment="1" applyBorder="1" applyFill="1" applyFont="1">
      <alignment horizontal="center" readingOrder="0" shrinkToFit="0" vertical="center" wrapText="0"/>
    </xf>
    <xf borderId="8" fillId="8" fontId="8" numFmtId="1" xfId="0" applyAlignment="1" applyBorder="1" applyFill="1" applyFont="1" applyNumberFormat="1">
      <alignment horizontal="center" shrinkToFit="0" vertical="center" wrapText="0"/>
    </xf>
    <xf borderId="8" fillId="7" fontId="7" numFmtId="164" xfId="0" applyAlignment="1" applyBorder="1" applyFont="1" applyNumberFormat="1">
      <alignment horizontal="center" readingOrder="0" shrinkToFit="0" vertical="center" wrapText="0"/>
    </xf>
    <xf borderId="8" fillId="7" fontId="7" numFmtId="0" xfId="0" applyAlignment="1" applyBorder="1" applyFont="1">
      <alignment horizontal="center" readingOrder="0" shrinkToFit="0" vertical="center" wrapText="0"/>
    </xf>
    <xf borderId="8" fillId="8" fontId="8" numFmtId="3" xfId="0" applyAlignment="1" applyBorder="1" applyFont="1" applyNumberFormat="1">
      <alignment horizontal="center" shrinkToFit="0" vertical="center" wrapText="0"/>
    </xf>
    <xf borderId="8" fillId="8" fontId="8" numFmtId="2" xfId="0" applyAlignment="1" applyBorder="1" applyFont="1" applyNumberFormat="1">
      <alignment horizontal="center" shrinkToFit="0" vertical="center" wrapText="0"/>
    </xf>
    <xf borderId="9" fillId="8" fontId="8" numFmtId="2" xfId="0" applyAlignment="1" applyBorder="1" applyFont="1" applyNumberFormat="1">
      <alignment horizontal="center" shrinkToFit="0" vertical="center" wrapText="0"/>
    </xf>
    <xf borderId="8" fillId="7" fontId="7" numFmtId="165" xfId="0" applyAlignment="1" applyBorder="1" applyFont="1" applyNumberFormat="1">
      <alignment horizontal="center" readingOrder="0" shrinkToFit="0" vertical="center" wrapText="0"/>
    </xf>
    <xf borderId="8" fillId="7" fontId="7" numFmtId="166" xfId="0" applyAlignment="1" applyBorder="1" applyFont="1" applyNumberFormat="1">
      <alignment horizontal="center" readingOrder="0" shrinkToFit="0" vertical="center" wrapText="0"/>
    </xf>
    <xf borderId="10" fillId="7" fontId="7" numFmtId="0" xfId="0" applyAlignment="1" applyBorder="1" applyFont="1">
      <alignment horizontal="center" readingOrder="0" shrinkToFit="0" vertical="center" wrapText="0"/>
    </xf>
    <xf borderId="11" fillId="8" fontId="8" numFmtId="1" xfId="0" applyAlignment="1" applyBorder="1" applyFont="1" applyNumberFormat="1">
      <alignment horizontal="center" shrinkToFit="0" vertical="center" wrapText="0"/>
    </xf>
    <xf borderId="11" fillId="7" fontId="7" numFmtId="167" xfId="0" applyAlignment="1" applyBorder="1" applyFont="1" applyNumberFormat="1">
      <alignment horizontal="center" readingOrder="0" shrinkToFit="0" vertical="center" wrapText="0"/>
    </xf>
    <xf borderId="11" fillId="7" fontId="7" numFmtId="0" xfId="0" applyAlignment="1" applyBorder="1" applyFont="1">
      <alignment horizontal="center" readingOrder="0" shrinkToFit="0" vertical="center" wrapText="0"/>
    </xf>
    <xf borderId="11" fillId="8" fontId="8" numFmtId="3" xfId="0" applyAlignment="1" applyBorder="1" applyFont="1" applyNumberFormat="1">
      <alignment horizontal="center" shrinkToFit="0" vertical="center" wrapText="0"/>
    </xf>
    <xf borderId="11" fillId="8" fontId="8" numFmtId="2" xfId="0" applyAlignment="1" applyBorder="1" applyFont="1" applyNumberFormat="1">
      <alignment horizontal="center" shrinkToFit="0" vertical="center" wrapText="0"/>
    </xf>
    <xf borderId="11" fillId="7" fontId="7" numFmtId="164" xfId="0" applyAlignment="1" applyBorder="1" applyFont="1" applyNumberFormat="1">
      <alignment horizontal="center" readingOrder="0" shrinkToFit="0" vertical="center" wrapText="0"/>
    </xf>
    <xf borderId="12" fillId="8" fontId="8" numFmtId="2" xfId="0" applyAlignment="1" applyBorder="1" applyFont="1" applyNumberFormat="1">
      <alignment horizontal="center" shrinkToFit="0" vertical="center" wrapText="0"/>
    </xf>
    <xf borderId="13" fillId="9" fontId="9" numFmtId="0" xfId="0" applyAlignment="1" applyBorder="1" applyFill="1" applyFont="1">
      <alignment shrinkToFit="0" vertical="top" wrapText="1"/>
    </xf>
    <xf borderId="14" fillId="0" fontId="2" numFmtId="0" xfId="0" applyBorder="1" applyFont="1"/>
    <xf borderId="15" fillId="0" fontId="2" numFmtId="0" xfId="0" applyBorder="1" applyFont="1"/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8" fillId="7" fontId="7" numFmtId="0" xfId="0" applyAlignment="1" applyBorder="1" applyFont="1">
      <alignment horizontal="center" shrinkToFit="0" vertical="center" wrapText="0"/>
    </xf>
    <xf borderId="11" fillId="7" fontId="7" numFmtId="0" xfId="0" applyAlignment="1" applyBorder="1" applyFont="1">
      <alignment horizontal="center" shrinkToFit="0" vertical="center" wrapText="0"/>
    </xf>
    <xf borderId="21" fillId="6" fontId="6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horizontal="center" shrinkToFit="0" vertical="bottom" wrapText="0"/>
    </xf>
    <xf borderId="0" fillId="0" fontId="10" numFmtId="164" xfId="0" applyAlignment="1" applyFont="1" applyNumberFormat="1">
      <alignment horizontal="center" shrinkToFit="0" vertical="bottom" wrapText="0"/>
    </xf>
    <xf borderId="0" fillId="0" fontId="10" numFmtId="3" xfId="0" applyAlignment="1" applyFont="1" applyNumberFormat="1">
      <alignment horizontal="center" shrinkToFit="0" vertical="bottom" wrapText="0"/>
    </xf>
    <xf borderId="0" fillId="0" fontId="10" numFmtId="2" xfId="0" applyAlignment="1" applyFont="1" applyNumberFormat="1">
      <alignment horizontal="center" shrinkToFit="0" vertical="bottom" wrapText="0"/>
    </xf>
    <xf borderId="0" fillId="0" fontId="10" numFmtId="165" xfId="0" applyAlignment="1" applyFont="1" applyNumberFormat="1">
      <alignment horizontal="center" shrinkToFit="0" vertical="bottom" wrapText="0"/>
    </xf>
    <xf borderId="0" fillId="0" fontId="10" numFmtId="166" xfId="0" applyAlignment="1" applyFont="1" applyNumberFormat="1">
      <alignment horizontal="center" shrinkToFit="0" vertical="bottom" wrapText="0"/>
    </xf>
    <xf borderId="0" fillId="0" fontId="10" numFmtId="167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Intentos por Segundo vs Nº Procesos</a:t>
            </a:r>
          </a:p>
        </c:rich>
      </c:tx>
      <c:overlay val="0"/>
    </c:title>
    <c:plotArea>
      <c:layout/>
      <c:lineChart>
        <c:ser>
          <c:idx val="0"/>
          <c:order val="0"/>
          <c:tx>
            <c:v>NI/s EN</c:v>
          </c:tx>
          <c:spPr>
            <a:ln cmpd="sng" w="3810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'Gráficas'!$A$4:$A$10</c:f>
              <c:numCache/>
            </c:numRef>
          </c:val>
          <c:smooth val="1"/>
        </c:ser>
        <c:ser>
          <c:idx val="1"/>
          <c:order val="1"/>
          <c:tx>
            <c:v>NI/s ABADIA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'Gráficas'!$E$4:$E$10</c:f>
              <c:numCache/>
            </c:numRef>
          </c:val>
          <c:smooth val="1"/>
        </c:ser>
        <c:ser>
          <c:idx val="2"/>
          <c:order val="2"/>
          <c:tx>
            <c:v>NI/s PERGAMINO</c:v>
          </c:tx>
          <c:spPr>
            <a:ln cmpd="sng" w="3810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'Gráficas'!$F$4:$F$10</c:f>
              <c:numCache/>
            </c:numRef>
          </c:val>
          <c:smooth val="1"/>
        </c:ser>
        <c:ser>
          <c:idx val="3"/>
          <c:order val="3"/>
          <c:tx>
            <c:strRef>
              <c:f>'Gráficas'!$G$3</c:f>
            </c:strRef>
          </c:tx>
          <c:spPr>
            <a:ln cmpd="sng">
              <a:solidFill>
                <a:srgbClr val="8064A2"/>
              </a:solidFill>
            </a:ln>
          </c:spPr>
          <c:marker>
            <c:symbol val="none"/>
          </c:marker>
          <c:val>
            <c:numRef>
              <c:f>'Gráficas'!$G$4:$G$10</c:f>
              <c:numCache/>
            </c:numRef>
          </c:val>
          <c:smooth val="1"/>
        </c:ser>
        <c:axId val="1035076330"/>
        <c:axId val="1253966528"/>
      </c:lineChart>
      <c:catAx>
        <c:axId val="10350763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Nº Procesos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253966528"/>
      </c:catAx>
      <c:valAx>
        <c:axId val="12539665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NI/s (intentos/s)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035076330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Tiempo de Ejecución vs Nº Procesos  (variable por aleatoriedad)</a:t>
            </a:r>
          </a:p>
        </c:rich>
      </c:tx>
      <c:overlay val="0"/>
    </c:title>
    <c:plotArea>
      <c:layout/>
      <c:lineChart>
        <c:ser>
          <c:idx val="0"/>
          <c:order val="0"/>
          <c:tx>
            <c:v>T EN (s)</c:v>
          </c:tx>
          <c:spPr>
            <a:ln cmpd="sng" w="3810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'Gráficas'!$A$4:$A$10</c:f>
            </c:strRef>
          </c:cat>
          <c:val>
            <c:numRef>
              <c:f>'Gráficas'!$B$4:$B$10</c:f>
              <c:numCache/>
            </c:numRef>
          </c:val>
          <c:smooth val="1"/>
        </c:ser>
        <c:ser>
          <c:idx val="1"/>
          <c:order val="1"/>
          <c:tx>
            <c:v>T ABADIA (s)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'Gráficas'!$A$4:$A$10</c:f>
            </c:strRef>
          </c:cat>
          <c:val>
            <c:numRef>
              <c:f>'Gráficas'!$C$4:$C$10</c:f>
              <c:numCache/>
            </c:numRef>
          </c:val>
          <c:smooth val="1"/>
        </c:ser>
        <c:ser>
          <c:idx val="2"/>
          <c:order val="2"/>
          <c:tx>
            <c:v>T PERGAMINO (s)</c:v>
          </c:tx>
          <c:spPr>
            <a:ln cmpd="sng" w="3810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'Gráficas'!$A$4:$A$10</c:f>
            </c:strRef>
          </c:cat>
          <c:val>
            <c:numRef>
              <c:f>'Gráficas'!$D$4:$D$10</c:f>
              <c:numCache/>
            </c:numRef>
          </c:val>
          <c:smooth val="1"/>
        </c:ser>
        <c:axId val="1947034913"/>
        <c:axId val="590680688"/>
      </c:lineChart>
      <c:catAx>
        <c:axId val="19470349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Nº Procesos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90680688"/>
      </c:catAx>
      <c:valAx>
        <c:axId val="5906806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94703491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Speedup (basado en NI/s) vs Nº Procesos</a:t>
            </a:r>
          </a:p>
        </c:rich>
      </c:tx>
      <c:overlay val="0"/>
    </c:title>
    <c:plotArea>
      <c:layout/>
      <c:lineChart>
        <c:ser>
          <c:idx val="0"/>
          <c:order val="0"/>
          <c:tx>
            <c:v>SP EN</c:v>
          </c:tx>
          <c:spPr>
            <a:ln cmpd="sng" w="38100">
              <a:solidFill>
                <a:srgbClr val="4A7EBB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'Gráficas'!$A$4:$A$10</c:f>
            </c:strRef>
          </c:cat>
          <c:val>
            <c:numRef>
              <c:f>'Gráficas'!$H$4:$H$10</c:f>
              <c:numCache/>
            </c:numRef>
          </c:val>
          <c:smooth val="1"/>
        </c:ser>
        <c:ser>
          <c:idx val="1"/>
          <c:order val="1"/>
          <c:tx>
            <c:v>SP ABADIA</c:v>
          </c:tx>
          <c:spPr>
            <a:ln cmpd="sng" w="38100">
              <a:solidFill>
                <a:srgbClr val="BE4B48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'Gráficas'!$A$4:$A$10</c:f>
            </c:strRef>
          </c:cat>
          <c:val>
            <c:numRef>
              <c:f>'Gráficas'!$I$4:$I$10</c:f>
              <c:numCache/>
            </c:numRef>
          </c:val>
          <c:smooth val="1"/>
        </c:ser>
        <c:ser>
          <c:idx val="2"/>
          <c:order val="2"/>
          <c:tx>
            <c:v>SP PERGAMINO</c:v>
          </c:tx>
          <c:spPr>
            <a:ln cmpd="sng" w="38100">
              <a:solidFill>
                <a:srgbClr val="98B855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'Gráficas'!$A$4:$A$10</c:f>
            </c:strRef>
          </c:cat>
          <c:val>
            <c:numRef>
              <c:f>'Gráficas'!$J$4:$J$10</c:f>
              <c:numCache/>
            </c:numRef>
          </c:val>
          <c:smooth val="1"/>
        </c:ser>
        <c:axId val="992125639"/>
        <c:axId val="85176924"/>
      </c:lineChart>
      <c:catAx>
        <c:axId val="9921256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Nº Procesos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85176924"/>
      </c:catAx>
      <c:valAx>
        <c:axId val="851769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Speedup NI/s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992125639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6515100" cy="4905375"/>
    <xdr:graphicFrame>
      <xdr:nvGraphicFramePr>
        <xdr:cNvPr id="1403608299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0</xdr:colOff>
      <xdr:row>13</xdr:row>
      <xdr:rowOff>0</xdr:rowOff>
    </xdr:from>
    <xdr:ext cx="6496050" cy="4905375"/>
    <xdr:graphicFrame>
      <xdr:nvGraphicFramePr>
        <xdr:cNvPr id="102461327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42</xdr:row>
      <xdr:rowOff>0</xdr:rowOff>
    </xdr:from>
    <xdr:ext cx="6515100" cy="4905375"/>
    <xdr:graphicFrame>
      <xdr:nvGraphicFramePr>
        <xdr:cNvPr id="81441812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9.0"/>
    <col customWidth="1" min="3" max="3" width="11.0"/>
    <col customWidth="1" min="4" max="4" width="16.0"/>
    <col customWidth="1" min="5" max="5" width="14.0"/>
    <col customWidth="1" min="6" max="6" width="9.0"/>
    <col customWidth="1" min="7" max="7" width="11.0"/>
    <col customWidth="1" min="8" max="8" width="16.0"/>
    <col customWidth="1" min="9" max="9" width="14.0"/>
    <col customWidth="1" min="10" max="10" width="9.0"/>
    <col customWidth="1" min="11" max="11" width="11.0"/>
    <col customWidth="1" min="12" max="12" width="16.0"/>
    <col customWidth="1" min="13" max="13" width="14.0"/>
    <col customWidth="1" min="14" max="14" width="9.0"/>
    <col customWidth="1" min="15" max="26" width="8.71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</row>
    <row r="3" ht="13.5" customHeight="1">
      <c r="A3" s="5" t="s">
        <v>2</v>
      </c>
    </row>
    <row r="5" ht="18.0" customHeight="1">
      <c r="A5" s="6"/>
      <c r="B5" s="3"/>
      <c r="C5" s="7" t="s">
        <v>3</v>
      </c>
      <c r="D5" s="2"/>
      <c r="E5" s="2"/>
      <c r="F5" s="3"/>
      <c r="G5" s="8" t="s">
        <v>4</v>
      </c>
      <c r="H5" s="2"/>
      <c r="I5" s="2"/>
      <c r="J5" s="3"/>
      <c r="K5" s="9" t="s">
        <v>5</v>
      </c>
      <c r="L5" s="2"/>
      <c r="M5" s="2"/>
      <c r="N5" s="3"/>
    </row>
    <row r="6" ht="31.5" customHeight="1">
      <c r="A6" s="10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8</v>
      </c>
      <c r="H6" s="11" t="s">
        <v>9</v>
      </c>
      <c r="I6" s="11" t="s">
        <v>10</v>
      </c>
      <c r="J6" s="11" t="s">
        <v>11</v>
      </c>
      <c r="K6" s="11" t="s">
        <v>8</v>
      </c>
      <c r="L6" s="11" t="s">
        <v>9</v>
      </c>
      <c r="M6" s="11" t="s">
        <v>10</v>
      </c>
      <c r="N6" s="12" t="s">
        <v>11</v>
      </c>
    </row>
    <row r="7" ht="18.0" customHeight="1">
      <c r="A7" s="13">
        <v>2.0</v>
      </c>
      <c r="B7" s="14">
        <f t="shared" ref="B7:B13" si="1">A7-1</f>
        <v>1</v>
      </c>
      <c r="C7" s="15">
        <v>219.608687</v>
      </c>
      <c r="D7" s="16">
        <v>1.03872728E8</v>
      </c>
      <c r="E7" s="17">
        <f t="shared" ref="E7:E13" si="2">IFERROR(D7/C7,"")</f>
        <v>472990.0689</v>
      </c>
      <c r="F7" s="18">
        <f>IFERROR(E7/E7,"")</f>
        <v>1</v>
      </c>
      <c r="G7" s="16">
        <v>218.577569</v>
      </c>
      <c r="H7" s="16">
        <v>1.03872728E8</v>
      </c>
      <c r="I7" s="17">
        <f t="shared" ref="I7:I13" si="3">IFERROR(H7/G7,"")</f>
        <v>475221.3527</v>
      </c>
      <c r="J7" s="18">
        <f>IFERROR(I7/E7,"")</f>
        <v>1.004717401</v>
      </c>
      <c r="K7" s="16">
        <v>199.100247</v>
      </c>
      <c r="L7" s="16">
        <v>1.03872728E8</v>
      </c>
      <c r="M7" s="17">
        <f t="shared" ref="M7:M13" si="4">IFERROR(L7/K7,"")</f>
        <v>521710.6938</v>
      </c>
      <c r="N7" s="19">
        <f>IFERROR(M7/E7,"")</f>
        <v>1.103005598</v>
      </c>
    </row>
    <row r="8" ht="18.0" customHeight="1">
      <c r="A8" s="13">
        <v>3.0</v>
      </c>
      <c r="B8" s="14">
        <f t="shared" si="1"/>
        <v>2</v>
      </c>
      <c r="C8" s="15">
        <v>241.275455</v>
      </c>
      <c r="D8" s="16">
        <v>2.07171259E8</v>
      </c>
      <c r="E8" s="17">
        <f t="shared" si="2"/>
        <v>858650.3712</v>
      </c>
      <c r="F8" s="18">
        <f>IFERROR(E8/E7,"")</f>
        <v>1.815366596</v>
      </c>
      <c r="G8" s="16">
        <v>217.506933</v>
      </c>
      <c r="H8" s="16">
        <v>2.08142474E8</v>
      </c>
      <c r="I8" s="17">
        <f t="shared" si="3"/>
        <v>956946.3885</v>
      </c>
      <c r="J8" s="18">
        <f>IFERROR(I8/E7,"")</f>
        <v>2.023184949</v>
      </c>
      <c r="K8" s="16">
        <v>213.557093</v>
      </c>
      <c r="L8" s="16">
        <v>2.07879345E8</v>
      </c>
      <c r="M8" s="17">
        <f t="shared" si="4"/>
        <v>973413.4422</v>
      </c>
      <c r="N8" s="19">
        <f>IFERROR(M8/E7,"")</f>
        <v>2.057999747</v>
      </c>
    </row>
    <row r="9" ht="18.0" customHeight="1">
      <c r="A9" s="13">
        <v>5.0</v>
      </c>
      <c r="B9" s="14">
        <f t="shared" si="1"/>
        <v>4</v>
      </c>
      <c r="C9" s="20">
        <v>71.655579</v>
      </c>
      <c r="D9" s="16">
        <v>8.4540816E7</v>
      </c>
      <c r="E9" s="17">
        <f t="shared" si="2"/>
        <v>1179821.825</v>
      </c>
      <c r="F9" s="18">
        <f>IFERROR(E9/E7,"")</f>
        <v>2.494390269</v>
      </c>
      <c r="G9" s="16">
        <v>78.804294</v>
      </c>
      <c r="H9" s="16">
        <v>1.12297721E8</v>
      </c>
      <c r="I9" s="17">
        <f t="shared" si="3"/>
        <v>1425020.329</v>
      </c>
      <c r="J9" s="18">
        <f>IFERROR(I9/E7,"")</f>
        <v>3.012791226</v>
      </c>
      <c r="K9" s="21">
        <v>50.003056</v>
      </c>
      <c r="L9" s="16">
        <v>7.7553098E7</v>
      </c>
      <c r="M9" s="17">
        <f t="shared" si="4"/>
        <v>1550967.165</v>
      </c>
      <c r="N9" s="19">
        <f>IFERROR(M9/E7,"")</f>
        <v>3.279069196</v>
      </c>
    </row>
    <row r="10" ht="18.0" customHeight="1">
      <c r="A10" s="13">
        <v>9.0</v>
      </c>
      <c r="B10" s="14">
        <f t="shared" si="1"/>
        <v>8</v>
      </c>
      <c r="C10" s="16">
        <v>136.347934</v>
      </c>
      <c r="D10" s="16">
        <v>1.69794604E8</v>
      </c>
      <c r="E10" s="17">
        <f t="shared" si="2"/>
        <v>1245303.827</v>
      </c>
      <c r="F10" s="18">
        <f>IFERROR(E10/E7,"")</f>
        <v>2.632832926</v>
      </c>
      <c r="G10" s="15">
        <v>94.06372</v>
      </c>
      <c r="H10" s="16">
        <v>1.5552612E8</v>
      </c>
      <c r="I10" s="17">
        <f t="shared" si="3"/>
        <v>1653412.389</v>
      </c>
      <c r="J10" s="18">
        <f>IFERROR(I10/E7,"")</f>
        <v>3.495659841</v>
      </c>
      <c r="K10" s="21">
        <v>89.575975</v>
      </c>
      <c r="L10" s="16">
        <v>1.61170871E8</v>
      </c>
      <c r="M10" s="17">
        <f t="shared" si="4"/>
        <v>1799264.49</v>
      </c>
      <c r="N10" s="19">
        <f>IFERROR(M10/E7,"")</f>
        <v>3.804021709</v>
      </c>
    </row>
    <row r="11" ht="18.0" customHeight="1">
      <c r="A11" s="13">
        <v>17.0</v>
      </c>
      <c r="B11" s="14">
        <f t="shared" si="1"/>
        <v>16</v>
      </c>
      <c r="C11" s="16">
        <v>297.532279</v>
      </c>
      <c r="D11" s="16">
        <v>3.18742257E8</v>
      </c>
      <c r="E11" s="17">
        <f t="shared" si="2"/>
        <v>1071286.309</v>
      </c>
      <c r="F11" s="18">
        <f>IFERROR(E11/E7,"")</f>
        <v>2.264923472</v>
      </c>
      <c r="G11" s="16">
        <v>176.44546</v>
      </c>
      <c r="H11" s="16">
        <v>3.26184422E8</v>
      </c>
      <c r="I11" s="17">
        <f t="shared" si="3"/>
        <v>1848641.626</v>
      </c>
      <c r="J11" s="18">
        <f>IFERROR(I11/E7,"")</f>
        <v>3.908415307</v>
      </c>
      <c r="K11" s="15">
        <v>175.912262</v>
      </c>
      <c r="L11" s="16">
        <v>3.25713558E8</v>
      </c>
      <c r="M11" s="17">
        <f t="shared" si="4"/>
        <v>1851568.244</v>
      </c>
      <c r="N11" s="19">
        <f>IFERROR(M11/E7,"")</f>
        <v>3.914602791</v>
      </c>
    </row>
    <row r="12" ht="18.0" customHeight="1">
      <c r="A12" s="13">
        <v>33.0</v>
      </c>
      <c r="B12" s="14">
        <f t="shared" si="1"/>
        <v>32</v>
      </c>
      <c r="C12" s="15">
        <v>279.132625</v>
      </c>
      <c r="D12" s="16">
        <v>3.31055021E8</v>
      </c>
      <c r="E12" s="17">
        <f t="shared" si="2"/>
        <v>1186013.355</v>
      </c>
      <c r="F12" s="18">
        <f>IFERROR(E12/E7,"")</f>
        <v>2.507480458</v>
      </c>
      <c r="G12" s="16">
        <v>182.972583</v>
      </c>
      <c r="H12" s="16">
        <v>3.3213489E8</v>
      </c>
      <c r="I12" s="17">
        <f t="shared" si="3"/>
        <v>1815216.709</v>
      </c>
      <c r="J12" s="18">
        <f>IFERROR(I12/E7,"")</f>
        <v>3.837748039</v>
      </c>
      <c r="K12" s="16">
        <v>211.280298</v>
      </c>
      <c r="L12" s="16">
        <v>3.92068296E8</v>
      </c>
      <c r="M12" s="17">
        <f t="shared" si="4"/>
        <v>1855678.45</v>
      </c>
      <c r="N12" s="19">
        <f>IFERROR(M12/E7,"")</f>
        <v>3.923292628</v>
      </c>
    </row>
    <row r="13" ht="18.0" customHeight="1">
      <c r="A13" s="22">
        <v>65.0</v>
      </c>
      <c r="B13" s="23">
        <f t="shared" si="1"/>
        <v>64</v>
      </c>
      <c r="C13" s="24">
        <v>152.15</v>
      </c>
      <c r="D13" s="25">
        <v>1.60557979E8</v>
      </c>
      <c r="E13" s="26">
        <f t="shared" si="2"/>
        <v>1055261.117</v>
      </c>
      <c r="F13" s="27">
        <f>IFERROR(E13/E7,"")</f>
        <v>2.231042863</v>
      </c>
      <c r="G13" s="25">
        <v>74.989243</v>
      </c>
      <c r="H13" s="25">
        <v>1.3755292E8</v>
      </c>
      <c r="I13" s="26">
        <f t="shared" si="3"/>
        <v>1834302.021</v>
      </c>
      <c r="J13" s="27">
        <f>IFERROR(I13/E7,"")</f>
        <v>3.878098382</v>
      </c>
      <c r="K13" s="28">
        <v>109.169969</v>
      </c>
      <c r="L13" s="25">
        <v>1.79980139E8</v>
      </c>
      <c r="M13" s="26">
        <f t="shared" si="4"/>
        <v>1648623.158</v>
      </c>
      <c r="N13" s="29">
        <f>IFERROR(M13/E7,"")</f>
        <v>3.485534403</v>
      </c>
    </row>
    <row r="15" ht="13.5" customHeight="1">
      <c r="A15" s="30" t="s">
        <v>12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2"/>
    </row>
    <row r="16" ht="13.5" customHeight="1">
      <c r="A16" s="33"/>
      <c r="N16" s="34"/>
    </row>
    <row r="17" ht="13.5" customHeight="1">
      <c r="A17" s="33"/>
      <c r="N17" s="34"/>
    </row>
    <row r="18" ht="13.5" customHeight="1">
      <c r="A18" s="33"/>
      <c r="N18" s="34"/>
    </row>
    <row r="19" ht="13.5" customHeight="1">
      <c r="A19" s="33"/>
      <c r="N19" s="34"/>
    </row>
    <row r="20" ht="13.5" customHeight="1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2:N2"/>
    <mergeCell ref="A3:D3"/>
    <mergeCell ref="A5:B5"/>
    <mergeCell ref="C5:F5"/>
    <mergeCell ref="G5:J5"/>
    <mergeCell ref="K5:N5"/>
    <mergeCell ref="A15:N20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9.0"/>
    <col customWidth="1" min="3" max="3" width="11.0"/>
    <col customWidth="1" min="4" max="4" width="16.0"/>
    <col customWidth="1" min="5" max="5" width="14.0"/>
    <col customWidth="1" min="6" max="6" width="9.0"/>
    <col customWidth="1" min="7" max="7" width="11.0"/>
    <col customWidth="1" min="8" max="8" width="16.0"/>
    <col customWidth="1" min="9" max="9" width="14.0"/>
    <col customWidth="1" min="10" max="10" width="9.0"/>
    <col customWidth="1" min="11" max="11" width="11.0"/>
    <col customWidth="1" min="12" max="12" width="16.0"/>
    <col customWidth="1" min="13" max="13" width="14.0"/>
    <col customWidth="1" min="14" max="14" width="9.0"/>
    <col customWidth="1" min="15" max="26" width="8.71"/>
  </cols>
  <sheetData>
    <row r="1" ht="27.75" customHeight="1">
      <c r="A1" s="1" t="s">
        <v>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</row>
    <row r="2" ht="13.5" customHeight="1">
      <c r="A2" s="4" t="s">
        <v>1</v>
      </c>
    </row>
    <row r="3" ht="13.5" customHeight="1">
      <c r="A3" s="5" t="s">
        <v>2</v>
      </c>
    </row>
    <row r="5" ht="18.0" customHeight="1">
      <c r="A5" s="6"/>
      <c r="B5" s="3"/>
      <c r="C5" s="7" t="s">
        <v>3</v>
      </c>
      <c r="D5" s="2"/>
      <c r="E5" s="2"/>
      <c r="F5" s="3"/>
      <c r="G5" s="8" t="s">
        <v>4</v>
      </c>
      <c r="H5" s="2"/>
      <c r="I5" s="2"/>
      <c r="J5" s="3"/>
      <c r="K5" s="9" t="s">
        <v>5</v>
      </c>
      <c r="L5" s="2"/>
      <c r="M5" s="2"/>
      <c r="N5" s="3"/>
    </row>
    <row r="6" ht="31.5" customHeight="1">
      <c r="A6" s="10" t="s">
        <v>6</v>
      </c>
      <c r="B6" s="11" t="s">
        <v>7</v>
      </c>
      <c r="C6" s="11" t="s">
        <v>8</v>
      </c>
      <c r="D6" s="11" t="s">
        <v>9</v>
      </c>
      <c r="E6" s="11" t="s">
        <v>10</v>
      </c>
      <c r="F6" s="11" t="s">
        <v>11</v>
      </c>
      <c r="G6" s="11" t="s">
        <v>8</v>
      </c>
      <c r="H6" s="11" t="s">
        <v>9</v>
      </c>
      <c r="I6" s="11" t="s">
        <v>10</v>
      </c>
      <c r="J6" s="11" t="s">
        <v>11</v>
      </c>
      <c r="K6" s="11" t="s">
        <v>8</v>
      </c>
      <c r="L6" s="11" t="s">
        <v>9</v>
      </c>
      <c r="M6" s="11" t="s">
        <v>10</v>
      </c>
      <c r="N6" s="12" t="s">
        <v>11</v>
      </c>
    </row>
    <row r="7" ht="18.0" customHeight="1">
      <c r="A7" s="13">
        <v>2.0</v>
      </c>
      <c r="B7" s="14">
        <f t="shared" ref="B7:B13" si="1">A7-1</f>
        <v>1</v>
      </c>
      <c r="C7" s="38"/>
      <c r="D7" s="38"/>
      <c r="E7" s="17" t="str">
        <f t="shared" ref="E7:E13" si="2">IFERROR(D7/C7,"")</f>
        <v/>
      </c>
      <c r="F7" s="18" t="str">
        <f>IFERROR(E7/E7,"")</f>
        <v/>
      </c>
      <c r="G7" s="38"/>
      <c r="H7" s="38"/>
      <c r="I7" s="17" t="str">
        <f t="shared" ref="I7:I13" si="3">IFERROR(H7/G7,"")</f>
        <v/>
      </c>
      <c r="J7" s="18" t="str">
        <f>IFERROR(I7/E7,"")</f>
        <v/>
      </c>
      <c r="K7" s="38"/>
      <c r="L7" s="38"/>
      <c r="M7" s="17" t="str">
        <f t="shared" ref="M7:M13" si="4">IFERROR(L7/K7,"")</f>
        <v/>
      </c>
      <c r="N7" s="19" t="str">
        <f>IFERROR(M7/E7,"")</f>
        <v/>
      </c>
    </row>
    <row r="8" ht="18.0" customHeight="1">
      <c r="A8" s="13">
        <v>3.0</v>
      </c>
      <c r="B8" s="14">
        <f t="shared" si="1"/>
        <v>2</v>
      </c>
      <c r="C8" s="38"/>
      <c r="D8" s="38"/>
      <c r="E8" s="17" t="str">
        <f t="shared" si="2"/>
        <v/>
      </c>
      <c r="F8" s="18" t="str">
        <f>IFERROR(E8/E7,"")</f>
        <v/>
      </c>
      <c r="G8" s="38"/>
      <c r="H8" s="38"/>
      <c r="I8" s="17" t="str">
        <f t="shared" si="3"/>
        <v/>
      </c>
      <c r="J8" s="18" t="str">
        <f>IFERROR(I8/E7,"")</f>
        <v/>
      </c>
      <c r="K8" s="38"/>
      <c r="L8" s="38"/>
      <c r="M8" s="17" t="str">
        <f t="shared" si="4"/>
        <v/>
      </c>
      <c r="N8" s="19" t="str">
        <f>IFERROR(M8/E7,"")</f>
        <v/>
      </c>
    </row>
    <row r="9" ht="18.0" customHeight="1">
      <c r="A9" s="13">
        <v>5.0</v>
      </c>
      <c r="B9" s="14">
        <f t="shared" si="1"/>
        <v>4</v>
      </c>
      <c r="C9" s="38"/>
      <c r="D9" s="38"/>
      <c r="E9" s="17" t="str">
        <f t="shared" si="2"/>
        <v/>
      </c>
      <c r="F9" s="18" t="str">
        <f>IFERROR(E9/E7,"")</f>
        <v/>
      </c>
      <c r="G9" s="38"/>
      <c r="H9" s="38"/>
      <c r="I9" s="17" t="str">
        <f t="shared" si="3"/>
        <v/>
      </c>
      <c r="J9" s="18" t="str">
        <f>IFERROR(I9/E7,"")</f>
        <v/>
      </c>
      <c r="K9" s="38"/>
      <c r="L9" s="38"/>
      <c r="M9" s="17" t="str">
        <f t="shared" si="4"/>
        <v/>
      </c>
      <c r="N9" s="19" t="str">
        <f>IFERROR(M9/E7,"")</f>
        <v/>
      </c>
    </row>
    <row r="10" ht="18.0" customHeight="1">
      <c r="A10" s="13">
        <v>9.0</v>
      </c>
      <c r="B10" s="14">
        <f t="shared" si="1"/>
        <v>8</v>
      </c>
      <c r="C10" s="38"/>
      <c r="D10" s="38"/>
      <c r="E10" s="17" t="str">
        <f t="shared" si="2"/>
        <v/>
      </c>
      <c r="F10" s="18" t="str">
        <f>IFERROR(E10/E7,"")</f>
        <v/>
      </c>
      <c r="G10" s="38"/>
      <c r="H10" s="38"/>
      <c r="I10" s="17" t="str">
        <f t="shared" si="3"/>
        <v/>
      </c>
      <c r="J10" s="18" t="str">
        <f>IFERROR(I10/E7,"")</f>
        <v/>
      </c>
      <c r="K10" s="38"/>
      <c r="L10" s="38"/>
      <c r="M10" s="17" t="str">
        <f t="shared" si="4"/>
        <v/>
      </c>
      <c r="N10" s="19" t="str">
        <f>IFERROR(M10/E7,"")</f>
        <v/>
      </c>
    </row>
    <row r="11" ht="18.0" customHeight="1">
      <c r="A11" s="13">
        <v>17.0</v>
      </c>
      <c r="B11" s="14">
        <f t="shared" si="1"/>
        <v>16</v>
      </c>
      <c r="C11" s="38"/>
      <c r="D11" s="38"/>
      <c r="E11" s="17" t="str">
        <f t="shared" si="2"/>
        <v/>
      </c>
      <c r="F11" s="18" t="str">
        <f>IFERROR(E11/E7,"")</f>
        <v/>
      </c>
      <c r="G11" s="38"/>
      <c r="H11" s="38"/>
      <c r="I11" s="17" t="str">
        <f t="shared" si="3"/>
        <v/>
      </c>
      <c r="J11" s="18" t="str">
        <f>IFERROR(I11/E7,"")</f>
        <v/>
      </c>
      <c r="K11" s="38"/>
      <c r="L11" s="38"/>
      <c r="M11" s="17" t="str">
        <f t="shared" si="4"/>
        <v/>
      </c>
      <c r="N11" s="19" t="str">
        <f>IFERROR(M11/E7,"")</f>
        <v/>
      </c>
    </row>
    <row r="12" ht="18.0" customHeight="1">
      <c r="A12" s="13">
        <v>33.0</v>
      </c>
      <c r="B12" s="14">
        <f t="shared" si="1"/>
        <v>32</v>
      </c>
      <c r="C12" s="38"/>
      <c r="D12" s="38"/>
      <c r="E12" s="17" t="str">
        <f t="shared" si="2"/>
        <v/>
      </c>
      <c r="F12" s="18" t="str">
        <f>IFERROR(E12/E7,"")</f>
        <v/>
      </c>
      <c r="G12" s="38"/>
      <c r="H12" s="38"/>
      <c r="I12" s="17" t="str">
        <f t="shared" si="3"/>
        <v/>
      </c>
      <c r="J12" s="18" t="str">
        <f>IFERROR(I12/E7,"")</f>
        <v/>
      </c>
      <c r="K12" s="38"/>
      <c r="L12" s="38"/>
      <c r="M12" s="17" t="str">
        <f t="shared" si="4"/>
        <v/>
      </c>
      <c r="N12" s="19" t="str">
        <f>IFERROR(M12/E7,"")</f>
        <v/>
      </c>
    </row>
    <row r="13" ht="18.0" customHeight="1">
      <c r="A13" s="22">
        <v>65.0</v>
      </c>
      <c r="B13" s="23">
        <f t="shared" si="1"/>
        <v>64</v>
      </c>
      <c r="C13" s="39"/>
      <c r="D13" s="39"/>
      <c r="E13" s="26" t="str">
        <f t="shared" si="2"/>
        <v/>
      </c>
      <c r="F13" s="27" t="str">
        <f>IFERROR(E13/E7,"")</f>
        <v/>
      </c>
      <c r="G13" s="39"/>
      <c r="H13" s="39"/>
      <c r="I13" s="26" t="str">
        <f t="shared" si="3"/>
        <v/>
      </c>
      <c r="J13" s="27" t="str">
        <f>IFERROR(I13/E7,"")</f>
        <v/>
      </c>
      <c r="K13" s="39"/>
      <c r="L13" s="39"/>
      <c r="M13" s="26" t="str">
        <f t="shared" si="4"/>
        <v/>
      </c>
      <c r="N13" s="29" t="str">
        <f>IFERROR(M13/E7,"")</f>
        <v/>
      </c>
    </row>
    <row r="15" ht="13.5" customHeight="1">
      <c r="A15" s="30" t="s">
        <v>12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2"/>
    </row>
    <row r="16" ht="13.5" customHeight="1">
      <c r="A16" s="33"/>
      <c r="N16" s="34"/>
    </row>
    <row r="17" ht="13.5" customHeight="1">
      <c r="A17" s="33"/>
      <c r="N17" s="34"/>
    </row>
    <row r="18" ht="13.5" customHeight="1">
      <c r="A18" s="33"/>
      <c r="N18" s="34"/>
    </row>
    <row r="19" ht="13.5" customHeight="1">
      <c r="A19" s="33"/>
      <c r="N19" s="34"/>
    </row>
    <row r="20" ht="13.5" customHeight="1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N1"/>
    <mergeCell ref="A2:N2"/>
    <mergeCell ref="A3:D3"/>
    <mergeCell ref="A5:B5"/>
    <mergeCell ref="C5:F5"/>
    <mergeCell ref="G5:J5"/>
    <mergeCell ref="K5:N5"/>
    <mergeCell ref="A15:N20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4.0"/>
    <col customWidth="1" min="11" max="26" width="8.71"/>
  </cols>
  <sheetData>
    <row r="1" ht="27.75" customHeight="1">
      <c r="A1" s="1" t="s">
        <v>14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3" ht="27.75" customHeight="1">
      <c r="A3" s="40" t="s">
        <v>15</v>
      </c>
      <c r="B3" s="40" t="s">
        <v>16</v>
      </c>
      <c r="C3" s="40" t="s">
        <v>17</v>
      </c>
      <c r="D3" s="40" t="s">
        <v>18</v>
      </c>
      <c r="E3" s="40" t="s">
        <v>19</v>
      </c>
      <c r="F3" s="40" t="s">
        <v>20</v>
      </c>
      <c r="G3" s="40" t="s">
        <v>21</v>
      </c>
      <c r="H3" s="40" t="s">
        <v>22</v>
      </c>
      <c r="I3" s="40" t="s">
        <v>23</v>
      </c>
      <c r="J3" s="40" t="s">
        <v>24</v>
      </c>
    </row>
    <row r="4" ht="15.75" customHeight="1">
      <c r="A4" s="41">
        <v>1.0</v>
      </c>
      <c r="B4" s="42">
        <f>'Una Máquina'!C7</f>
        <v>219.608687</v>
      </c>
      <c r="C4" s="41">
        <f>'Una Máquina'!G7</f>
        <v>218.577569</v>
      </c>
      <c r="D4" s="41">
        <f>'Una Máquina'!K7</f>
        <v>199.100247</v>
      </c>
      <c r="E4" s="43">
        <f>'Una Máquina'!E7</f>
        <v>472990.0689</v>
      </c>
      <c r="F4" s="43">
        <f>'Una Máquina'!I7</f>
        <v>475221.3527</v>
      </c>
      <c r="G4" s="43">
        <f>'Una Máquina'!M7</f>
        <v>521710.6938</v>
      </c>
      <c r="H4" s="44">
        <f>'Una Máquina'!F7</f>
        <v>1</v>
      </c>
      <c r="I4" s="44">
        <f>'Una Máquina'!J7</f>
        <v>1.004717401</v>
      </c>
      <c r="J4" s="44">
        <f>'Una Máquina'!N7</f>
        <v>1.103005598</v>
      </c>
    </row>
    <row r="5" ht="15.75" customHeight="1">
      <c r="A5" s="41">
        <v>2.0</v>
      </c>
      <c r="B5" s="42">
        <f>'Una Máquina'!C8</f>
        <v>241.275455</v>
      </c>
      <c r="C5" s="41">
        <f>'Una Máquina'!G8</f>
        <v>217.506933</v>
      </c>
      <c r="D5" s="41">
        <f>'Una Máquina'!K8</f>
        <v>213.557093</v>
      </c>
      <c r="E5" s="43">
        <f>'Una Máquina'!E8</f>
        <v>858650.3712</v>
      </c>
      <c r="F5" s="43">
        <f>'Una Máquina'!I8</f>
        <v>956946.3885</v>
      </c>
      <c r="G5" s="43">
        <f>'Una Máquina'!M8</f>
        <v>973413.4422</v>
      </c>
      <c r="H5" s="44">
        <f>'Una Máquina'!F8</f>
        <v>1.815366596</v>
      </c>
      <c r="I5" s="44">
        <f>'Una Máquina'!J8</f>
        <v>2.023184949</v>
      </c>
      <c r="J5" s="44">
        <f>'Una Máquina'!N8</f>
        <v>2.057999747</v>
      </c>
    </row>
    <row r="6" ht="15.75" customHeight="1">
      <c r="A6" s="41">
        <v>4.0</v>
      </c>
      <c r="B6" s="45">
        <f>'Una Máquina'!C9</f>
        <v>71.655579</v>
      </c>
      <c r="C6" s="41">
        <f>'Una Máquina'!G9</f>
        <v>78.804294</v>
      </c>
      <c r="D6" s="46">
        <f>'Una Máquina'!K9</f>
        <v>50.003056</v>
      </c>
      <c r="E6" s="43">
        <f>'Una Máquina'!E9</f>
        <v>1179821.825</v>
      </c>
      <c r="F6" s="43">
        <f>'Una Máquina'!I9</f>
        <v>1425020.329</v>
      </c>
      <c r="G6" s="43">
        <f>'Una Máquina'!M9</f>
        <v>1550967.165</v>
      </c>
      <c r="H6" s="44">
        <f>'Una Máquina'!F9</f>
        <v>2.494390269</v>
      </c>
      <c r="I6" s="44">
        <f>'Una Máquina'!J9</f>
        <v>3.012791226</v>
      </c>
      <c r="J6" s="44">
        <f>'Una Máquina'!N9</f>
        <v>3.279069196</v>
      </c>
    </row>
    <row r="7" ht="15.75" customHeight="1">
      <c r="A7" s="41">
        <v>8.0</v>
      </c>
      <c r="B7" s="41">
        <f>'Una Máquina'!C10</f>
        <v>136.347934</v>
      </c>
      <c r="C7" s="42">
        <f>'Una Máquina'!G10</f>
        <v>94.06372</v>
      </c>
      <c r="D7" s="46">
        <f>'Una Máquina'!K10</f>
        <v>89.575975</v>
      </c>
      <c r="E7" s="43">
        <f>'Una Máquina'!E10</f>
        <v>1245303.827</v>
      </c>
      <c r="F7" s="43">
        <f>'Una Máquina'!I10</f>
        <v>1653412.389</v>
      </c>
      <c r="G7" s="43">
        <f>'Una Máquina'!M10</f>
        <v>1799264.49</v>
      </c>
      <c r="H7" s="44">
        <f>'Una Máquina'!F10</f>
        <v>2.632832926</v>
      </c>
      <c r="I7" s="44">
        <f>'Una Máquina'!J10</f>
        <v>3.495659841</v>
      </c>
      <c r="J7" s="44">
        <f>'Una Máquina'!N10</f>
        <v>3.804021709</v>
      </c>
    </row>
    <row r="8" ht="15.75" customHeight="1">
      <c r="A8" s="41">
        <v>16.0</v>
      </c>
      <c r="B8" s="41">
        <f>'Una Máquina'!C11</f>
        <v>297.532279</v>
      </c>
      <c r="C8" s="41">
        <f>'Una Máquina'!G11</f>
        <v>176.44546</v>
      </c>
      <c r="D8" s="42">
        <f>'Una Máquina'!K11</f>
        <v>175.912262</v>
      </c>
      <c r="E8" s="43">
        <f>'Una Máquina'!E11</f>
        <v>1071286.309</v>
      </c>
      <c r="F8" s="43">
        <f>'Una Máquina'!I11</f>
        <v>1848641.626</v>
      </c>
      <c r="G8" s="43">
        <f>'Una Máquina'!M11</f>
        <v>1851568.244</v>
      </c>
      <c r="H8" s="44">
        <f>'Una Máquina'!F11</f>
        <v>2.264923472</v>
      </c>
      <c r="I8" s="44">
        <f>'Una Máquina'!J11</f>
        <v>3.908415307</v>
      </c>
      <c r="J8" s="44">
        <f>'Una Máquina'!N11</f>
        <v>3.914602791</v>
      </c>
    </row>
    <row r="9" ht="15.75" customHeight="1">
      <c r="A9" s="41">
        <v>32.0</v>
      </c>
      <c r="B9" s="42">
        <f>'Una Máquina'!C12</f>
        <v>279.132625</v>
      </c>
      <c r="C9" s="41">
        <f>'Una Máquina'!G12</f>
        <v>182.972583</v>
      </c>
      <c r="D9" s="41">
        <f>'Una Máquina'!K12</f>
        <v>211.280298</v>
      </c>
      <c r="E9" s="43">
        <f>'Una Máquina'!E12</f>
        <v>1186013.355</v>
      </c>
      <c r="F9" s="43">
        <f>'Una Máquina'!I12</f>
        <v>1815216.709</v>
      </c>
      <c r="G9" s="43">
        <f>'Una Máquina'!M12</f>
        <v>1855678.45</v>
      </c>
      <c r="H9" s="44">
        <f>'Una Máquina'!F12</f>
        <v>2.507480458</v>
      </c>
      <c r="I9" s="44">
        <f>'Una Máquina'!J12</f>
        <v>3.837748039</v>
      </c>
      <c r="J9" s="44">
        <f>'Una Máquina'!N12</f>
        <v>3.923292628</v>
      </c>
    </row>
    <row r="10" ht="15.75" customHeight="1">
      <c r="A10" s="41">
        <v>64.0</v>
      </c>
      <c r="B10" s="47">
        <f>'Una Máquina'!C13</f>
        <v>152.15</v>
      </c>
      <c r="C10" s="41">
        <f>'Una Máquina'!G13</f>
        <v>74.989243</v>
      </c>
      <c r="D10" s="42">
        <f>'Una Máquina'!K13</f>
        <v>109.169969</v>
      </c>
      <c r="E10" s="43">
        <f>'Una Máquina'!E13</f>
        <v>1055261.117</v>
      </c>
      <c r="F10" s="43">
        <f>'Una Máquina'!I13</f>
        <v>1834302.021</v>
      </c>
      <c r="G10" s="43">
        <f>'Una Máquina'!M13</f>
        <v>1648623.158</v>
      </c>
      <c r="H10" s="44">
        <f>'Una Máquina'!F13</f>
        <v>2.231042863</v>
      </c>
      <c r="I10" s="44">
        <f>'Una Máquina'!J13</f>
        <v>3.878098382</v>
      </c>
      <c r="J10" s="44">
        <f>'Una Máquina'!N13</f>
        <v>3.485534403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3.5" customHeight="1">
      <c r="A72" s="30" t="s">
        <v>25</v>
      </c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2"/>
    </row>
    <row r="73" ht="13.5" customHeight="1">
      <c r="A73" s="33"/>
      <c r="R73" s="34"/>
    </row>
    <row r="74" ht="13.5" customHeight="1">
      <c r="A74" s="33"/>
      <c r="R74" s="34"/>
    </row>
    <row r="75" ht="13.5" customHeight="1">
      <c r="A75" s="35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7"/>
    </row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1"/>
    <mergeCell ref="A72:R75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2026-02-28T11:03:48Z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